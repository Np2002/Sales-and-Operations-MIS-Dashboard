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https://d.docs.live.net/cb16b604f38d10a8/Desktop/"/>
    </mc:Choice>
  </mc:AlternateContent>
  <xr:revisionPtr revIDLastSave="12" documentId="11_F25DC773A252ABDACC10486089DA71325BDE58E7" xr6:coauthVersionLast="47" xr6:coauthVersionMax="47" xr10:uidLastSave="{087E4B12-CDE5-4246-BE4C-7B34807A79A0}"/>
  <bookViews>
    <workbookView xWindow="9510" yWindow="0" windowWidth="9780" windowHeight="10890" firstSheet="3" activeTab="4" xr2:uid="{00000000-000D-0000-FFFF-FFFF00000000}"/>
  </bookViews>
  <sheets>
    <sheet name="Master" sheetId="1" r:id="rId1"/>
    <sheet name="North" sheetId="3" r:id="rId2"/>
    <sheet name="South" sheetId="4" r:id="rId3"/>
    <sheet name="West" sheetId="5" r:id="rId4"/>
    <sheet name="ALL_DATA" sheetId="2" r:id="rId5"/>
    <sheet name="Pivot_Engine" sheetId="6" r:id="rId6"/>
    <sheet name="Dashboard" sheetId="8" r:id="rId7"/>
  </sheets>
  <definedNames>
    <definedName name="Slicer_Category">#N/A</definedName>
    <definedName name="Slicer_Region">#N/A</definedName>
  </definedNames>
  <calcPr calcId="191029"/>
  <pivotCaches>
    <pivotCache cacheId="10"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42" i="2" l="1"/>
  <c r="E43" i="2"/>
  <c r="E44" i="2"/>
  <c r="E45" i="2"/>
  <c r="E46" i="2"/>
  <c r="E47" i="2"/>
  <c r="E48" i="2"/>
  <c r="E49" i="2"/>
  <c r="E50" i="2"/>
  <c r="E51" i="2"/>
  <c r="E52" i="2"/>
  <c r="E53" i="2"/>
  <c r="E54" i="2"/>
  <c r="E55" i="2"/>
  <c r="E56" i="2"/>
  <c r="E57" i="2"/>
  <c r="F42" i="2"/>
  <c r="F43" i="2"/>
  <c r="F44" i="2"/>
  <c r="F45" i="2"/>
  <c r="F46" i="2"/>
  <c r="F47" i="2"/>
  <c r="F48" i="2"/>
  <c r="F49" i="2"/>
  <c r="F50" i="2"/>
  <c r="F51" i="2"/>
  <c r="F52" i="2"/>
  <c r="F53" i="2"/>
  <c r="F54" i="2"/>
  <c r="F55" i="2"/>
  <c r="F56" i="2"/>
  <c r="F57" i="2"/>
  <c r="G42" i="2"/>
  <c r="G43" i="2"/>
  <c r="G44" i="2"/>
  <c r="G45" i="2"/>
  <c r="G46" i="2"/>
  <c r="G47" i="2"/>
  <c r="G48" i="2"/>
  <c r="G49" i="2"/>
  <c r="G50" i="2"/>
  <c r="G51" i="2"/>
  <c r="G52" i="2"/>
  <c r="G53" i="2"/>
  <c r="G54" i="2"/>
  <c r="G55" i="2"/>
  <c r="G56" i="2"/>
  <c r="G57" i="2"/>
  <c r="E24" i="2"/>
  <c r="E25" i="2"/>
  <c r="E26" i="2"/>
  <c r="E27" i="2"/>
  <c r="E28" i="2"/>
  <c r="E29" i="2"/>
  <c r="E30" i="2"/>
  <c r="E31" i="2"/>
  <c r="E32" i="2"/>
  <c r="E33" i="2"/>
  <c r="E34" i="2"/>
  <c r="E35" i="2"/>
  <c r="E36" i="2"/>
  <c r="E37" i="2"/>
  <c r="E38" i="2"/>
  <c r="E39" i="2"/>
  <c r="E40" i="2"/>
  <c r="E41" i="2"/>
  <c r="F24" i="2"/>
  <c r="F25" i="2"/>
  <c r="F26" i="2"/>
  <c r="F27" i="2"/>
  <c r="F28" i="2"/>
  <c r="F29" i="2"/>
  <c r="F30" i="2"/>
  <c r="F31" i="2"/>
  <c r="F32" i="2"/>
  <c r="F33" i="2"/>
  <c r="F34" i="2"/>
  <c r="F35" i="2"/>
  <c r="F36" i="2"/>
  <c r="F37" i="2"/>
  <c r="F38" i="2"/>
  <c r="F39" i="2"/>
  <c r="F40" i="2"/>
  <c r="F41" i="2"/>
  <c r="G24" i="2"/>
  <c r="G25" i="2"/>
  <c r="G26" i="2"/>
  <c r="G27" i="2"/>
  <c r="G28" i="2"/>
  <c r="G29" i="2"/>
  <c r="G30" i="2"/>
  <c r="G31" i="2"/>
  <c r="G32" i="2"/>
  <c r="G33" i="2"/>
  <c r="G34" i="2"/>
  <c r="G35" i="2"/>
  <c r="G36" i="2"/>
  <c r="G37" i="2"/>
  <c r="G38" i="2"/>
  <c r="G39" i="2"/>
  <c r="G40" i="2"/>
  <c r="G41" i="2"/>
  <c r="E17" i="2"/>
  <c r="E18" i="2"/>
  <c r="E19" i="2"/>
  <c r="E20" i="2"/>
  <c r="E21" i="2"/>
  <c r="E22" i="2"/>
  <c r="E23" i="2"/>
  <c r="F17" i="2"/>
  <c r="F18" i="2"/>
  <c r="F19" i="2"/>
  <c r="F20" i="2"/>
  <c r="F21" i="2"/>
  <c r="F22" i="2"/>
  <c r="F23" i="2"/>
  <c r="G17" i="2"/>
  <c r="G18" i="2"/>
  <c r="G19" i="2"/>
  <c r="G20" i="2"/>
  <c r="G21" i="2"/>
  <c r="G22" i="2"/>
  <c r="G23" i="2"/>
  <c r="G2" i="2"/>
  <c r="G3" i="2"/>
  <c r="G4" i="2"/>
  <c r="G5" i="2"/>
  <c r="G6" i="2"/>
  <c r="G7" i="2"/>
  <c r="G8" i="2"/>
  <c r="G9" i="2"/>
  <c r="G10" i="2"/>
  <c r="G11" i="2"/>
  <c r="G12" i="2"/>
  <c r="G13" i="2"/>
  <c r="G14" i="2"/>
  <c r="G15" i="2"/>
  <c r="G16" i="2"/>
  <c r="F2" i="2"/>
  <c r="F3" i="2"/>
  <c r="F4" i="2"/>
  <c r="F5" i="2"/>
  <c r="F6" i="2"/>
  <c r="F7" i="2"/>
  <c r="F8" i="2"/>
  <c r="F9" i="2"/>
  <c r="F10" i="2"/>
  <c r="F11" i="2"/>
  <c r="F12" i="2"/>
  <c r="F13" i="2"/>
  <c r="F14" i="2"/>
  <c r="F15" i="2"/>
  <c r="F16" i="2"/>
  <c r="E2" i="2"/>
  <c r="E3" i="2"/>
  <c r="E4" i="2"/>
  <c r="E5" i="2"/>
  <c r="E6" i="2"/>
  <c r="E7" i="2"/>
  <c r="E8" i="2"/>
  <c r="E9" i="2"/>
  <c r="E10" i="2"/>
  <c r="E11" i="2"/>
  <c r="E12" i="2"/>
  <c r="E13" i="2"/>
  <c r="E14" i="2"/>
  <c r="E15" i="2"/>
  <c r="E16" i="2"/>
</calcChain>
</file>

<file path=xl/sharedStrings.xml><?xml version="1.0" encoding="utf-8"?>
<sst xmlns="http://schemas.openxmlformats.org/spreadsheetml/2006/main" count="280" uniqueCount="32">
  <si>
    <t>Product_ID</t>
  </si>
  <si>
    <t>Product_Name</t>
  </si>
  <si>
    <t>Category</t>
  </si>
  <si>
    <t>Unit_Price</t>
  </si>
  <si>
    <t>P-101</t>
  </si>
  <si>
    <t>Electronics</t>
  </si>
  <si>
    <t>P-102</t>
  </si>
  <si>
    <t>P-103</t>
  </si>
  <si>
    <t>Furniture</t>
  </si>
  <si>
    <t>P-104</t>
  </si>
  <si>
    <t>P-105</t>
  </si>
  <si>
    <t>Notebook Set</t>
  </si>
  <si>
    <t>Stationery</t>
  </si>
  <si>
    <t>Eco Mouse</t>
  </si>
  <si>
    <t>Pro Keyboard</t>
  </si>
  <si>
    <t>Ergo Chair</t>
  </si>
  <si>
    <t>LED Lamp</t>
  </si>
  <si>
    <t>Date</t>
  </si>
  <si>
    <t>Region</t>
  </si>
  <si>
    <t>Qty</t>
  </si>
  <si>
    <t>North</t>
  </si>
  <si>
    <t>South</t>
  </si>
  <si>
    <t>West</t>
  </si>
  <si>
    <t>Product</t>
  </si>
  <si>
    <t>Revenue</t>
  </si>
  <si>
    <t>Row Labels</t>
  </si>
  <si>
    <t>Grand Total</t>
  </si>
  <si>
    <t>Sum of Revenue</t>
  </si>
  <si>
    <t>P-106</t>
  </si>
  <si>
    <t>Monitor 24in</t>
  </si>
  <si>
    <t>P-107</t>
  </si>
  <si>
    <t>Whiteboard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</si>
</sst>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 x14ac:knownFonts="1">
    <font>
      <sz val="11"/>
      <color theme="1"/>
      <name val="Calibri"/>
      <family val="2"/>
      <scheme val="minor"/>
    </font>
    <font>
      <sz val="11"/>
      <color theme="0"/>
      <name val="Calibri"/>
      <family val="2"/>
      <scheme val="minor"/>
    </font>
    <font>
      <sz val="11"/>
      <color rgb="FF1F1F1F"/>
      <name val="Arial"/>
      <family val="2"/>
    </font>
    <font>
      <b/>
      <sz val="11"/>
      <color rgb="FF1F1F1F"/>
      <name val="Arial"/>
      <family val="2"/>
    </font>
    <font>
      <b/>
      <sz val="11"/>
      <color theme="0"/>
      <name val="Arial"/>
      <family val="2"/>
    </font>
  </fonts>
  <fills count="3">
    <fill>
      <patternFill patternType="none"/>
    </fill>
    <fill>
      <patternFill patternType="gray125"/>
    </fill>
    <fill>
      <patternFill patternType="solid">
        <fgColor theme="2" tint="-0.249977111117893"/>
        <bgColor indexed="64"/>
      </patternFill>
    </fill>
  </fills>
  <borders count="12">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style="medium">
        <color rgb="FF000000"/>
      </right>
      <top/>
      <bottom style="medium">
        <color rgb="FF000000"/>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style="medium">
        <color rgb="FF000000"/>
      </right>
      <top style="medium">
        <color rgb="FF000000"/>
      </top>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37">
    <xf numFmtId="0" fontId="0" fillId="0" borderId="0" xfId="0"/>
    <xf numFmtId="0" fontId="2" fillId="0" borderId="1" xfId="0" applyFont="1" applyBorder="1" applyAlignment="1">
      <alignment vertical="center" wrapText="1" readingOrder="1"/>
    </xf>
    <xf numFmtId="0" fontId="2" fillId="0" borderId="3" xfId="0" applyFont="1" applyBorder="1" applyAlignment="1">
      <alignment vertical="center" wrapText="1" readingOrder="1"/>
    </xf>
    <xf numFmtId="0" fontId="2" fillId="0" borderId="8" xfId="0" applyFont="1" applyBorder="1" applyAlignment="1">
      <alignment vertical="center" wrapText="1" readingOrder="1"/>
    </xf>
    <xf numFmtId="0" fontId="2" fillId="0" borderId="9" xfId="0" applyFont="1" applyBorder="1" applyAlignment="1">
      <alignment vertical="center" wrapText="1" readingOrder="1"/>
    </xf>
    <xf numFmtId="15" fontId="2" fillId="0" borderId="1" xfId="0" applyNumberFormat="1" applyFont="1" applyBorder="1" applyAlignment="1">
      <alignment vertical="center" wrapText="1" readingOrder="1"/>
    </xf>
    <xf numFmtId="15" fontId="2" fillId="0" borderId="2" xfId="0" applyNumberFormat="1" applyFont="1" applyBorder="1" applyAlignment="1">
      <alignment vertical="center" wrapText="1" readingOrder="1"/>
    </xf>
    <xf numFmtId="15" fontId="2" fillId="0" borderId="7" xfId="0" applyNumberFormat="1" applyFont="1" applyBorder="1" applyAlignment="1">
      <alignment vertical="center" wrapText="1" readingOrder="1"/>
    </xf>
    <xf numFmtId="0" fontId="0" fillId="0" borderId="0" xfId="0" pivotButton="1"/>
    <xf numFmtId="0" fontId="0" fillId="0" borderId="0" xfId="0" applyAlignment="1">
      <alignment horizontal="left"/>
    </xf>
    <xf numFmtId="0" fontId="0" fillId="0" borderId="0" xfId="0" applyNumberFormat="1"/>
    <xf numFmtId="0" fontId="0" fillId="2" borderId="0" xfId="0" applyFill="1"/>
    <xf numFmtId="0" fontId="2" fillId="0" borderId="1" xfId="0" applyFont="1" applyBorder="1" applyAlignment="1">
      <alignment vertical="center" readingOrder="1"/>
    </xf>
    <xf numFmtId="0" fontId="2" fillId="0" borderId="2" xfId="0" applyFont="1" applyBorder="1" applyAlignment="1">
      <alignment vertical="center" readingOrder="1"/>
    </xf>
    <xf numFmtId="0" fontId="2" fillId="0" borderId="3" xfId="0" applyFont="1" applyBorder="1" applyAlignment="1">
      <alignment vertical="center" readingOrder="1"/>
    </xf>
    <xf numFmtId="0" fontId="3" fillId="0" borderId="4" xfId="0" applyFont="1" applyBorder="1" applyAlignment="1">
      <alignment vertical="center" readingOrder="1"/>
    </xf>
    <xf numFmtId="0" fontId="3" fillId="0" borderId="5" xfId="0" applyFont="1" applyBorder="1" applyAlignment="1">
      <alignment vertical="center" readingOrder="1"/>
    </xf>
    <xf numFmtId="0" fontId="3" fillId="0" borderId="6" xfId="0" applyFont="1" applyBorder="1" applyAlignment="1">
      <alignment vertical="center" readingOrder="1"/>
    </xf>
    <xf numFmtId="0" fontId="2" fillId="0" borderId="7" xfId="0" applyFont="1" applyBorder="1" applyAlignment="1">
      <alignment vertical="center" readingOrder="1"/>
    </xf>
    <xf numFmtId="0" fontId="2" fillId="0" borderId="8" xfId="0" applyFont="1" applyBorder="1" applyAlignment="1">
      <alignment vertical="center" readingOrder="1"/>
    </xf>
    <xf numFmtId="0" fontId="2" fillId="0" borderId="9" xfId="0" applyFont="1" applyBorder="1" applyAlignment="1">
      <alignment vertical="center" readingOrder="1"/>
    </xf>
    <xf numFmtId="15" fontId="2" fillId="0" borderId="2" xfId="0" applyNumberFormat="1" applyFont="1" applyBorder="1" applyAlignment="1">
      <alignment vertical="center" readingOrder="1"/>
    </xf>
    <xf numFmtId="15" fontId="2" fillId="0" borderId="7" xfId="0" applyNumberFormat="1" applyFont="1" applyBorder="1" applyAlignment="1">
      <alignment vertical="center" readingOrder="1"/>
    </xf>
    <xf numFmtId="0" fontId="4" fillId="0" borderId="4" xfId="0" applyFont="1" applyBorder="1" applyAlignment="1">
      <alignment vertical="center" readingOrder="1"/>
    </xf>
    <xf numFmtId="0" fontId="4" fillId="0" borderId="5" xfId="0" applyFont="1" applyBorder="1" applyAlignment="1">
      <alignment vertical="center" readingOrder="1"/>
    </xf>
    <xf numFmtId="0" fontId="4" fillId="0" borderId="6" xfId="0" applyFont="1" applyBorder="1" applyAlignment="1">
      <alignment vertical="center" readingOrder="1"/>
    </xf>
    <xf numFmtId="0" fontId="4" fillId="0" borderId="4" xfId="0" applyFont="1" applyBorder="1" applyAlignment="1">
      <alignment vertical="center" wrapText="1" readingOrder="1"/>
    </xf>
    <xf numFmtId="0" fontId="4" fillId="0" borderId="5" xfId="0" applyFont="1" applyBorder="1" applyAlignment="1">
      <alignment vertical="center" wrapText="1" readingOrder="1"/>
    </xf>
    <xf numFmtId="0" fontId="4" fillId="0" borderId="6" xfId="0" applyFont="1" applyBorder="1" applyAlignment="1">
      <alignment vertical="center" wrapText="1" readingOrder="1"/>
    </xf>
    <xf numFmtId="0" fontId="1" fillId="0" borderId="0" xfId="0" applyFont="1"/>
    <xf numFmtId="0" fontId="2" fillId="0" borderId="10" xfId="0" applyFont="1" applyBorder="1" applyAlignment="1">
      <alignment vertical="center" readingOrder="1"/>
    </xf>
    <xf numFmtId="0" fontId="0" fillId="0" borderId="10" xfId="0" applyBorder="1" applyAlignment="1"/>
    <xf numFmtId="15" fontId="2" fillId="0" borderId="8" xfId="0" applyNumberFormat="1" applyFont="1" applyBorder="1" applyAlignment="1">
      <alignment vertical="center" wrapText="1" readingOrder="1"/>
    </xf>
    <xf numFmtId="0" fontId="0" fillId="0" borderId="10" xfId="0" applyNumberFormat="1" applyBorder="1" applyAlignment="1"/>
    <xf numFmtId="0" fontId="3" fillId="0" borderId="0" xfId="0" applyFont="1" applyBorder="1" applyAlignment="1">
      <alignment vertical="center" readingOrder="1"/>
    </xf>
    <xf numFmtId="0" fontId="3" fillId="0" borderId="11" xfId="0" applyFont="1" applyBorder="1" applyAlignment="1">
      <alignment vertical="center" readingOrder="1"/>
    </xf>
    <xf numFmtId="15" fontId="2" fillId="0" borderId="10" xfId="0" applyNumberFormat="1" applyFont="1" applyBorder="1" applyAlignment="1">
      <alignment vertical="center" readingOrder="1"/>
    </xf>
  </cellXfs>
  <cellStyles count="1">
    <cellStyle name="Normal" xfId="0" builtinId="0"/>
  </cellStyles>
  <dxfs count="46">
    <dxf>
      <numFmt numFmtId="0" formatCode="General"/>
      <alignment horizontal="general" textRotation="0" wrapText="0" indent="0" justifyLastLine="0" shrinkToFit="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general" textRotation="0" wrapText="0" indent="0" justifyLastLine="0" shrinkToFit="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general" textRotation="0" wrapText="0" indent="0" justifyLastLine="0" shrinkToFit="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rgb="FF1F1F1F"/>
        <name val="Arial"/>
        <family val="2"/>
        <scheme val="none"/>
      </font>
      <alignment horizontal="general" vertical="center" textRotation="0" wrapText="0" indent="0" justifyLastLine="0" shrinkToFit="0" readingOrder="1"/>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rgb="FF1F1F1F"/>
        <name val="Arial"/>
        <family val="2"/>
        <scheme val="none"/>
      </font>
      <alignment horizontal="general" vertical="center" textRotation="0" wrapText="0" indent="0" justifyLastLine="0" shrinkToFit="0" readingOrder="1"/>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rgb="FF1F1F1F"/>
        <name val="Arial"/>
        <family val="2"/>
        <scheme val="none"/>
      </font>
      <alignment horizontal="general" vertical="center" textRotation="0" wrapText="0" indent="0" justifyLastLine="0" shrinkToFit="0" readingOrder="1"/>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rgb="FF1F1F1F"/>
        <name val="Arial"/>
        <family val="2"/>
        <scheme val="none"/>
      </font>
      <numFmt numFmtId="20" formatCode="d\-mmm\-yy"/>
      <alignment horizontal="general" vertical="center" textRotation="0" wrapText="0" indent="0" justifyLastLine="0" shrinkToFit="0" readingOrder="1"/>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rgb="FF1F1F1F"/>
        <name val="Arial"/>
        <family val="2"/>
        <scheme val="none"/>
      </font>
      <alignment horizontal="general" vertical="center" textRotation="0" wrapText="1" indent="0" justifyLastLine="0" shrinkToFit="0" readingOrder="1"/>
      <border diagonalUp="0" diagonalDown="0">
        <left style="medium">
          <color rgb="FF000000"/>
        </left>
        <right/>
        <top style="medium">
          <color rgb="FF000000"/>
        </top>
        <bottom style="medium">
          <color rgb="FF000000"/>
        </bottom>
        <vertical/>
        <horizontal/>
      </border>
    </dxf>
    <dxf>
      <font>
        <b val="0"/>
        <i val="0"/>
        <strike val="0"/>
        <condense val="0"/>
        <extend val="0"/>
        <outline val="0"/>
        <shadow val="0"/>
        <u val="none"/>
        <vertAlign val="baseline"/>
        <sz val="11"/>
        <color rgb="FF1F1F1F"/>
        <name val="Arial"/>
        <family val="2"/>
        <scheme val="none"/>
      </font>
      <alignment horizontal="general" vertical="center" textRotation="0" wrapText="1" indent="0" justifyLastLine="0" shrinkToFit="0" readingOrder="1"/>
      <border diagonalUp="0" diagonalDown="0">
        <left style="medium">
          <color rgb="FF000000"/>
        </left>
        <right style="medium">
          <color rgb="FF000000"/>
        </right>
        <top style="medium">
          <color rgb="FF000000"/>
        </top>
        <bottom style="medium">
          <color rgb="FF000000"/>
        </bottom>
        <vertical/>
        <horizontal/>
      </border>
    </dxf>
    <dxf>
      <font>
        <b val="0"/>
        <i val="0"/>
        <strike val="0"/>
        <condense val="0"/>
        <extend val="0"/>
        <outline val="0"/>
        <shadow val="0"/>
        <u val="none"/>
        <vertAlign val="baseline"/>
        <sz val="11"/>
        <color rgb="FF1F1F1F"/>
        <name val="Arial"/>
        <family val="2"/>
        <scheme val="none"/>
      </font>
      <alignment horizontal="general" vertical="center" textRotation="0" wrapText="1" indent="0" justifyLastLine="0" shrinkToFit="0" readingOrder="1"/>
      <border diagonalUp="0" diagonalDown="0">
        <left style="medium">
          <color rgb="FF000000"/>
        </left>
        <right style="medium">
          <color rgb="FF000000"/>
        </right>
        <top style="medium">
          <color rgb="FF000000"/>
        </top>
        <bottom style="medium">
          <color rgb="FF000000"/>
        </bottom>
        <vertical/>
        <horizontal/>
      </border>
    </dxf>
    <dxf>
      <font>
        <b val="0"/>
        <i val="0"/>
        <strike val="0"/>
        <condense val="0"/>
        <extend val="0"/>
        <outline val="0"/>
        <shadow val="0"/>
        <u val="none"/>
        <vertAlign val="baseline"/>
        <sz val="11"/>
        <color rgb="FF1F1F1F"/>
        <name val="Arial"/>
        <family val="2"/>
        <scheme val="none"/>
      </font>
      <numFmt numFmtId="20" formatCode="d\-mmm\-yy"/>
      <alignment horizontal="general" vertical="center" textRotation="0" wrapText="1" indent="0" justifyLastLine="0" shrinkToFit="0" readingOrder="1"/>
      <border diagonalUp="0" diagonalDown="0">
        <left/>
        <right style="medium">
          <color rgb="FF000000"/>
        </right>
        <top style="medium">
          <color rgb="FF000000"/>
        </top>
        <bottom style="medium">
          <color rgb="FF000000"/>
        </bottom>
        <vertical/>
        <horizontal/>
      </border>
    </dxf>
    <dxf>
      <border outline="0">
        <top style="medium">
          <color rgb="FF000000"/>
        </top>
      </border>
    </dxf>
    <dxf>
      <border outline="0">
        <bottom style="medium">
          <color rgb="FF000000"/>
        </bottom>
      </border>
    </dxf>
    <dxf>
      <border outline="0">
        <left style="medium">
          <color rgb="FF000000"/>
        </left>
        <right style="medium">
          <color rgb="FF000000"/>
        </right>
        <top style="medium">
          <color rgb="FF000000"/>
        </top>
        <bottom style="medium">
          <color rgb="FF000000"/>
        </bottom>
      </border>
    </dxf>
    <dxf>
      <font>
        <b/>
        <i val="0"/>
        <strike val="0"/>
        <condense val="0"/>
        <extend val="0"/>
        <outline val="0"/>
        <shadow val="0"/>
        <u val="none"/>
        <vertAlign val="baseline"/>
        <sz val="11"/>
        <color theme="0"/>
        <name val="Arial"/>
        <family val="2"/>
        <scheme val="none"/>
      </font>
      <alignment horizontal="general" vertical="center" textRotation="0" wrapText="1" indent="0" justifyLastLine="0" shrinkToFit="0" readingOrder="1"/>
      <border diagonalUp="0" diagonalDown="0" outline="0">
        <left style="medium">
          <color rgb="FF000000"/>
        </left>
        <right style="medium">
          <color rgb="FF000000"/>
        </right>
        <top/>
        <bottom/>
      </border>
    </dxf>
    <dxf>
      <font>
        <b/>
        <i val="0"/>
        <strike val="0"/>
        <condense val="0"/>
        <extend val="0"/>
        <outline val="0"/>
        <shadow val="0"/>
        <u val="none"/>
        <vertAlign val="baseline"/>
        <sz val="11"/>
        <color rgb="FF1F1F1F"/>
        <name val="Arial"/>
        <family val="2"/>
        <scheme val="none"/>
      </font>
      <alignment horizontal="general" vertical="center" textRotation="0" wrapText="0" indent="0" justifyLastLine="0" shrinkToFit="0" readingOrder="1"/>
      <border diagonalUp="0" diagonalDown="0" outline="0">
        <left style="medium">
          <color rgb="FF000000"/>
        </left>
        <right style="medium">
          <color rgb="FF000000"/>
        </right>
        <top/>
        <bottom/>
      </border>
    </dxf>
    <dxf>
      <font>
        <b val="0"/>
        <i val="0"/>
        <strike val="0"/>
        <condense val="0"/>
        <extend val="0"/>
        <outline val="0"/>
        <shadow val="0"/>
        <u val="none"/>
        <vertAlign val="baseline"/>
        <sz val="11"/>
        <color rgb="FF1F1F1F"/>
        <name val="Arial"/>
        <family val="2"/>
        <scheme val="none"/>
      </font>
      <alignment horizontal="general" vertical="center" textRotation="0" wrapText="0" indent="0" justifyLastLine="0" shrinkToFit="0" readingOrder="1"/>
      <border diagonalUp="0" diagonalDown="0">
        <left style="medium">
          <color rgb="FF000000"/>
        </left>
        <right/>
        <top style="medium">
          <color rgb="FF000000"/>
        </top>
        <bottom style="medium">
          <color rgb="FF000000"/>
        </bottom>
        <vertical/>
        <horizontal/>
      </border>
    </dxf>
    <dxf>
      <font>
        <b val="0"/>
        <i val="0"/>
        <strike val="0"/>
        <condense val="0"/>
        <extend val="0"/>
        <outline val="0"/>
        <shadow val="0"/>
        <u val="none"/>
        <vertAlign val="baseline"/>
        <sz val="11"/>
        <color rgb="FF1F1F1F"/>
        <name val="Arial"/>
        <family val="2"/>
        <scheme val="none"/>
      </font>
      <alignment horizontal="general" vertical="center" textRotation="0" wrapText="0" indent="0" justifyLastLine="0" shrinkToFit="0" readingOrder="1"/>
      <border diagonalUp="0" diagonalDown="0">
        <left style="medium">
          <color rgb="FF000000"/>
        </left>
        <right style="medium">
          <color rgb="FF000000"/>
        </right>
        <top style="medium">
          <color rgb="FF000000"/>
        </top>
        <bottom style="medium">
          <color rgb="FF000000"/>
        </bottom>
        <vertical/>
        <horizontal/>
      </border>
    </dxf>
    <dxf>
      <font>
        <b val="0"/>
        <i val="0"/>
        <strike val="0"/>
        <condense val="0"/>
        <extend val="0"/>
        <outline val="0"/>
        <shadow val="0"/>
        <u val="none"/>
        <vertAlign val="baseline"/>
        <sz val="11"/>
        <color rgb="FF1F1F1F"/>
        <name val="Arial"/>
        <family val="2"/>
        <scheme val="none"/>
      </font>
      <alignment horizontal="general" vertical="center" textRotation="0" wrapText="0" indent="0" justifyLastLine="0" shrinkToFit="0" readingOrder="1"/>
      <border diagonalUp="0" diagonalDown="0">
        <left style="medium">
          <color rgb="FF000000"/>
        </left>
        <right style="medium">
          <color rgb="FF000000"/>
        </right>
        <top style="medium">
          <color rgb="FF000000"/>
        </top>
        <bottom style="medium">
          <color rgb="FF000000"/>
        </bottom>
        <vertical/>
        <horizontal/>
      </border>
    </dxf>
    <dxf>
      <font>
        <b val="0"/>
        <i val="0"/>
        <strike val="0"/>
        <condense val="0"/>
        <extend val="0"/>
        <outline val="0"/>
        <shadow val="0"/>
        <u val="none"/>
        <vertAlign val="baseline"/>
        <sz val="11"/>
        <color rgb="FF1F1F1F"/>
        <name val="Arial"/>
        <family val="2"/>
        <scheme val="none"/>
      </font>
      <alignment horizontal="general" vertical="center" textRotation="0" wrapText="0" indent="0" justifyLastLine="0" shrinkToFit="0" readingOrder="1"/>
      <border diagonalUp="0" diagonalDown="0">
        <left/>
        <right style="medium">
          <color rgb="FF000000"/>
        </right>
        <top style="medium">
          <color rgb="FF000000"/>
        </top>
        <bottom style="medium">
          <color rgb="FF000000"/>
        </bottom>
        <vertical/>
        <horizontal/>
      </border>
    </dxf>
    <dxf>
      <border outline="0">
        <top style="medium">
          <color rgb="FF000000"/>
        </top>
      </border>
    </dxf>
    <dxf>
      <border outline="0">
        <bottom style="medium">
          <color rgb="FF000000"/>
        </bottom>
      </border>
    </dxf>
    <dxf>
      <border outline="0">
        <bottom style="medium">
          <color rgb="FF000000"/>
        </bottom>
      </border>
    </dxf>
    <dxf>
      <alignment horizontal="general" textRotation="0" wrapText="0" indent="0" justifyLastLine="0" shrinkToFit="0"/>
    </dxf>
    <dxf>
      <font>
        <b/>
        <i val="0"/>
        <strike val="0"/>
        <condense val="0"/>
        <extend val="0"/>
        <outline val="0"/>
        <shadow val="0"/>
        <u val="none"/>
        <vertAlign val="baseline"/>
        <sz val="11"/>
        <color rgb="FF1F1F1F"/>
        <name val="Arial"/>
        <family val="2"/>
        <scheme val="none"/>
      </font>
      <alignment horizontal="general" vertical="center" textRotation="0" wrapText="0" indent="0" justifyLastLine="0" shrinkToFit="0" readingOrder="1"/>
      <border diagonalUp="0" diagonalDown="0" outline="0">
        <left style="medium">
          <color rgb="FF000000"/>
        </left>
        <right style="medium">
          <color rgb="FF000000"/>
        </right>
        <top/>
        <bottom/>
      </border>
    </dxf>
    <dxf>
      <font>
        <b/>
        <i val="0"/>
        <strike val="0"/>
        <condense val="0"/>
        <extend val="0"/>
        <outline val="0"/>
        <shadow val="0"/>
        <u val="none"/>
        <vertAlign val="baseline"/>
        <sz val="11"/>
        <color theme="0"/>
        <name val="Arial"/>
        <family val="2"/>
        <scheme val="none"/>
      </font>
      <alignment horizontal="general" vertical="center" textRotation="0" wrapText="1" indent="0" justifyLastLine="0" shrinkToFit="0" readingOrder="1"/>
      <border diagonalUp="0" diagonalDown="0" outline="0">
        <left style="medium">
          <color rgb="FF000000"/>
        </left>
        <right style="medium">
          <color rgb="FF000000"/>
        </right>
        <top/>
        <bottom/>
      </border>
    </dxf>
    <dxf>
      <font>
        <b val="0"/>
        <i val="0"/>
        <strike val="0"/>
        <condense val="0"/>
        <extend val="0"/>
        <outline val="0"/>
        <shadow val="0"/>
        <u val="none"/>
        <vertAlign val="baseline"/>
        <sz val="11"/>
        <color rgb="FF1F1F1F"/>
        <name val="Arial"/>
        <family val="2"/>
        <scheme val="none"/>
      </font>
      <alignment horizontal="general" vertical="center" textRotation="0" wrapText="1" indent="0" justifyLastLine="0" shrinkToFit="0" readingOrder="1"/>
      <border diagonalUp="0" diagonalDown="0">
        <left style="medium">
          <color rgb="FF000000"/>
        </left>
        <right/>
        <top style="medium">
          <color rgb="FF000000"/>
        </top>
        <bottom style="medium">
          <color rgb="FF000000"/>
        </bottom>
        <vertical/>
        <horizontal/>
      </border>
    </dxf>
    <dxf>
      <font>
        <b val="0"/>
        <i val="0"/>
        <strike val="0"/>
        <condense val="0"/>
        <extend val="0"/>
        <outline val="0"/>
        <shadow val="0"/>
        <u val="none"/>
        <vertAlign val="baseline"/>
        <sz val="11"/>
        <color rgb="FF1F1F1F"/>
        <name val="Arial"/>
        <family val="2"/>
        <scheme val="none"/>
      </font>
      <alignment horizontal="general" vertical="center" textRotation="0" wrapText="1" indent="0" justifyLastLine="0" shrinkToFit="0" readingOrder="1"/>
      <border diagonalUp="0" diagonalDown="0">
        <left style="medium">
          <color rgb="FF000000"/>
        </left>
        <right style="medium">
          <color rgb="FF000000"/>
        </right>
        <top style="medium">
          <color rgb="FF000000"/>
        </top>
        <bottom style="medium">
          <color rgb="FF000000"/>
        </bottom>
        <vertical/>
        <horizontal/>
      </border>
    </dxf>
    <dxf>
      <font>
        <b val="0"/>
        <i val="0"/>
        <strike val="0"/>
        <condense val="0"/>
        <extend val="0"/>
        <outline val="0"/>
        <shadow val="0"/>
        <u val="none"/>
        <vertAlign val="baseline"/>
        <sz val="11"/>
        <color rgb="FF1F1F1F"/>
        <name val="Arial"/>
        <family val="2"/>
        <scheme val="none"/>
      </font>
      <alignment horizontal="general" vertical="center" textRotation="0" wrapText="1" indent="0" justifyLastLine="0" shrinkToFit="0" readingOrder="1"/>
      <border diagonalUp="0" diagonalDown="0">
        <left style="medium">
          <color rgb="FF000000"/>
        </left>
        <right style="medium">
          <color rgb="FF000000"/>
        </right>
        <top style="medium">
          <color rgb="FF000000"/>
        </top>
        <bottom style="medium">
          <color rgb="FF000000"/>
        </bottom>
        <vertical/>
        <horizontal/>
      </border>
    </dxf>
    <dxf>
      <font>
        <b val="0"/>
        <i val="0"/>
        <strike val="0"/>
        <condense val="0"/>
        <extend val="0"/>
        <outline val="0"/>
        <shadow val="0"/>
        <u val="none"/>
        <vertAlign val="baseline"/>
        <sz val="11"/>
        <color rgb="FF1F1F1F"/>
        <name val="Arial"/>
        <family val="2"/>
        <scheme val="none"/>
      </font>
      <numFmt numFmtId="20" formatCode="d\-mmm\-yy"/>
      <alignment horizontal="general" vertical="center" textRotation="0" wrapText="1" indent="0" justifyLastLine="0" shrinkToFit="0" readingOrder="1"/>
      <border diagonalUp="0" diagonalDown="0">
        <left/>
        <right style="medium">
          <color rgb="FF000000"/>
        </right>
        <top style="medium">
          <color rgb="FF000000"/>
        </top>
        <bottom style="medium">
          <color rgb="FF000000"/>
        </bottom>
        <vertical/>
        <horizontal/>
      </border>
    </dxf>
    <dxf>
      <border outline="0">
        <top style="medium">
          <color rgb="FF000000"/>
        </top>
      </border>
    </dxf>
    <dxf>
      <border outline="0">
        <bottom style="medium">
          <color rgb="FF000000"/>
        </bottom>
      </border>
    </dxf>
    <dxf>
      <border outline="0">
        <left style="medium">
          <color rgb="FF000000"/>
        </left>
        <right style="medium">
          <color rgb="FF000000"/>
        </right>
        <top style="medium">
          <color rgb="FF000000"/>
        </top>
        <bottom style="medium">
          <color rgb="FF000000"/>
        </bottom>
      </border>
    </dxf>
    <dxf>
      <font>
        <b/>
        <i val="0"/>
        <strike val="0"/>
        <condense val="0"/>
        <extend val="0"/>
        <outline val="0"/>
        <shadow val="0"/>
        <u val="none"/>
        <vertAlign val="baseline"/>
        <sz val="11"/>
        <color theme="0"/>
        <name val="Arial"/>
        <family val="2"/>
        <scheme val="none"/>
      </font>
      <alignment horizontal="general" vertical="center" textRotation="0" wrapText="0" indent="0" justifyLastLine="0" shrinkToFit="0" readingOrder="1"/>
      <border diagonalUp="0" diagonalDown="0" outline="0">
        <left style="medium">
          <color rgb="FF000000"/>
        </left>
        <right style="medium">
          <color rgb="FF000000"/>
        </right>
        <top/>
        <bottom/>
      </border>
    </dxf>
    <dxf>
      <font>
        <b val="0"/>
        <i val="0"/>
        <strike val="0"/>
        <condense val="0"/>
        <extend val="0"/>
        <outline val="0"/>
        <shadow val="0"/>
        <u val="none"/>
        <vertAlign val="baseline"/>
        <sz val="11"/>
        <color rgb="FF1F1F1F"/>
        <name val="Arial"/>
        <family val="2"/>
        <scheme val="none"/>
      </font>
      <alignment horizontal="general" vertical="center" textRotation="0" wrapText="0" indent="0" justifyLastLine="0" shrinkToFit="0" readingOrder="1"/>
      <border diagonalUp="0" diagonalDown="0">
        <left style="medium">
          <color rgb="FF000000"/>
        </left>
        <right/>
        <top style="medium">
          <color rgb="FF000000"/>
        </top>
        <bottom style="medium">
          <color rgb="FF000000"/>
        </bottom>
        <vertical/>
        <horizontal/>
      </border>
    </dxf>
    <dxf>
      <font>
        <b val="0"/>
        <i val="0"/>
        <strike val="0"/>
        <condense val="0"/>
        <extend val="0"/>
        <outline val="0"/>
        <shadow val="0"/>
        <u val="none"/>
        <vertAlign val="baseline"/>
        <sz val="11"/>
        <color rgb="FF1F1F1F"/>
        <name val="Arial"/>
        <family val="2"/>
        <scheme val="none"/>
      </font>
      <alignment horizontal="general" vertical="center" textRotation="0" wrapText="0" indent="0" justifyLastLine="0" shrinkToFit="0" readingOrder="1"/>
      <border diagonalUp="0" diagonalDown="0">
        <left style="medium">
          <color rgb="FF000000"/>
        </left>
        <right style="medium">
          <color rgb="FF000000"/>
        </right>
        <top style="medium">
          <color rgb="FF000000"/>
        </top>
        <bottom style="medium">
          <color rgb="FF000000"/>
        </bottom>
        <vertical/>
        <horizontal/>
      </border>
    </dxf>
    <dxf>
      <font>
        <b val="0"/>
        <i val="0"/>
        <strike val="0"/>
        <condense val="0"/>
        <extend val="0"/>
        <outline val="0"/>
        <shadow val="0"/>
        <u val="none"/>
        <vertAlign val="baseline"/>
        <sz val="11"/>
        <color rgb="FF1F1F1F"/>
        <name val="Arial"/>
        <family val="2"/>
        <scheme val="none"/>
      </font>
      <alignment horizontal="general" vertical="center" textRotation="0" wrapText="0" indent="0" justifyLastLine="0" shrinkToFit="0" readingOrder="1"/>
      <border diagonalUp="0" diagonalDown="0">
        <left style="medium">
          <color rgb="FF000000"/>
        </left>
        <right style="medium">
          <color rgb="FF000000"/>
        </right>
        <top style="medium">
          <color rgb="FF000000"/>
        </top>
        <bottom style="medium">
          <color rgb="FF000000"/>
        </bottom>
        <vertical/>
        <horizontal/>
      </border>
    </dxf>
    <dxf>
      <font>
        <b val="0"/>
        <i val="0"/>
        <strike val="0"/>
        <condense val="0"/>
        <extend val="0"/>
        <outline val="0"/>
        <shadow val="0"/>
        <u val="none"/>
        <vertAlign val="baseline"/>
        <sz val="11"/>
        <color rgb="FF1F1F1F"/>
        <name val="Arial"/>
        <family val="2"/>
        <scheme val="none"/>
      </font>
      <numFmt numFmtId="20" formatCode="d\-mmm\-yy"/>
      <alignment horizontal="general" vertical="center" textRotation="0" wrapText="0" indent="0" justifyLastLine="0" shrinkToFit="0" readingOrder="1"/>
      <border diagonalUp="0" diagonalDown="0">
        <left/>
        <right style="medium">
          <color rgb="FF000000"/>
        </right>
        <top style="medium">
          <color rgb="FF000000"/>
        </top>
        <bottom style="medium">
          <color rgb="FF000000"/>
        </bottom>
        <vertical/>
        <horizontal/>
      </border>
    </dxf>
    <dxf>
      <border outline="0">
        <top style="medium">
          <color rgb="FF000000"/>
        </top>
      </border>
    </dxf>
    <dxf>
      <border outline="0">
        <bottom style="medium">
          <color rgb="FF000000"/>
        </bottom>
      </border>
    </dxf>
    <dxf>
      <border outline="0">
        <left style="medium">
          <color rgb="FF000000"/>
        </left>
        <right style="medium">
          <color rgb="FF000000"/>
        </right>
        <top style="medium">
          <color rgb="FF000000"/>
        </top>
        <bottom style="medium">
          <color rgb="FF000000"/>
        </bottom>
      </border>
    </dxf>
    <dxf>
      <font>
        <color theme="8" tint="0.79998168889431442"/>
      </font>
      <fill>
        <patternFill>
          <bgColor theme="8"/>
        </patternFill>
      </fill>
      <border>
        <left style="thick">
          <color theme="4"/>
        </left>
        <right style="thick">
          <color theme="4"/>
        </right>
        <top style="thick">
          <color theme="4"/>
        </top>
        <bottom style="thick">
          <color theme="4"/>
        </bottom>
        <vertical/>
        <horizontal/>
      </border>
    </dxf>
    <dxf>
      <font>
        <color theme="2" tint="-0.89996032593768116"/>
      </font>
      <fill>
        <patternFill patternType="solid">
          <bgColor theme="4" tint="0.79998168889431442"/>
        </patternFill>
      </fill>
      <border diagonalUp="0" diagonalDown="0">
        <left style="thick">
          <color theme="4"/>
        </left>
        <right style="thick">
          <color theme="4"/>
        </right>
        <top style="thick">
          <color theme="4"/>
        </top>
        <bottom style="thick">
          <color theme="4"/>
        </bottom>
        <vertical/>
        <horizontal/>
      </border>
    </dxf>
    <dxf>
      <border outline="0">
        <top style="medium">
          <color rgb="FF000000"/>
        </top>
      </border>
    </dxf>
    <dxf>
      <border outline="0">
        <bottom style="medium">
          <color rgb="FF000000"/>
        </bottom>
      </border>
    </dxf>
    <dxf>
      <border outline="0">
        <left style="medium">
          <color rgb="FF000000"/>
        </left>
        <right style="medium">
          <color rgb="FF000000"/>
        </right>
        <top style="medium">
          <color rgb="FF000000"/>
        </top>
        <bottom style="medium">
          <color rgb="FF000000"/>
        </bottom>
      </border>
    </dxf>
  </dxfs>
  <tableStyles count="1" defaultTableStyle="TableStyleMedium2" defaultPivotStyle="PivotStyleLight16">
    <tableStyle name="SlicerStyleDark1 2" pivot="0" table="0" count="10" xr9:uid="{FA81AEFD-9F5D-49FD-A114-4E20CA05174C}">
      <tableStyleElement type="wholeTable" dxfId="42"/>
      <tableStyleElement type="headerRow" dxfId="41"/>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7" tint="-0.499984740745262"/>
          </font>
          <fill>
            <patternFill patternType="solid">
              <fgColor theme="4"/>
              <bgColor theme="7" tint="0.79998168889431442"/>
            </patternFill>
          </fill>
          <border diagonalUp="0" diagonalDown="0">
            <left/>
            <right/>
            <top/>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^0 Operations MIS Dashboard.xlsx]Pivot_Engine!PivotTable1</c:name>
    <c:fmtId val="8"/>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Regional Performance </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solidFill>
              <a:schemeClr val="accent2">
                <a:lumMod val="20000"/>
                <a:lumOff val="80000"/>
              </a:schemeClr>
            </a:solid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2">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spPr>
            <a:solidFill>
              <a:schemeClr val="accent2">
                <a:lumMod val="20000"/>
                <a:lumOff val="80000"/>
              </a:schemeClr>
            </a:solid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accent2">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4888402161340417"/>
                  <c:h val="6.7863202390028521E-2"/>
                </c:manualLayout>
              </c15:layout>
            </c:ext>
          </c:extLst>
        </c:dLbl>
      </c:pivotFmt>
    </c:pivotFmts>
    <c:plotArea>
      <c:layout/>
      <c:barChart>
        <c:barDir val="col"/>
        <c:grouping val="clustered"/>
        <c:varyColors val="0"/>
        <c:ser>
          <c:idx val="0"/>
          <c:order val="0"/>
          <c:tx>
            <c:strRef>
              <c:f>Pivot_Engine!$B$6</c:f>
              <c:strCache>
                <c:ptCount val="1"/>
                <c:pt idx="0">
                  <c:v>Total</c:v>
                </c:pt>
              </c:strCache>
            </c:strRef>
          </c:tx>
          <c:spPr>
            <a:solidFill>
              <a:schemeClr val="accent1"/>
            </a:solidFill>
            <a:ln>
              <a:noFill/>
            </a:ln>
            <a:effectLst/>
          </c:spPr>
          <c:invertIfNegative val="0"/>
          <c:dLbls>
            <c:dLbl>
              <c:idx val="0"/>
              <c:spPr>
                <a:solidFill>
                  <a:schemeClr val="accent2">
                    <a:lumMod val="20000"/>
                    <a:lumOff val="80000"/>
                  </a:schemeClr>
                </a:solid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accent2">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4888402161340417"/>
                      <c:h val="6.7863202390028521E-2"/>
                    </c:manualLayout>
                  </c15:layout>
                </c:ext>
                <c:ext xmlns:c16="http://schemas.microsoft.com/office/drawing/2014/chart" uri="{C3380CC4-5D6E-409C-BE32-E72D297353CC}">
                  <c16:uniqueId val="{00000001-E6CD-4542-AF9D-5AAE92D73FB3}"/>
                </c:ext>
              </c:extLst>
            </c:dLbl>
            <c:spPr>
              <a:solidFill>
                <a:schemeClr val="accent2">
                  <a:lumMod val="20000"/>
                  <a:lumOff val="80000"/>
                </a:schemeClr>
              </a:solid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2">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Pivot_Engine!$A$7:$A$10</c:f>
              <c:strCache>
                <c:ptCount val="3"/>
                <c:pt idx="0">
                  <c:v>North</c:v>
                </c:pt>
                <c:pt idx="1">
                  <c:v>South</c:v>
                </c:pt>
                <c:pt idx="2">
                  <c:v>West</c:v>
                </c:pt>
              </c:strCache>
            </c:strRef>
          </c:cat>
          <c:val>
            <c:numRef>
              <c:f>Pivot_Engine!$B$7:$B$10</c:f>
              <c:numCache>
                <c:formatCode>General</c:formatCode>
                <c:ptCount val="3"/>
                <c:pt idx="0">
                  <c:v>76550</c:v>
                </c:pt>
                <c:pt idx="1">
                  <c:v>71650</c:v>
                </c:pt>
                <c:pt idx="2">
                  <c:v>28950</c:v>
                </c:pt>
              </c:numCache>
            </c:numRef>
          </c:val>
          <c:extLst>
            <c:ext xmlns:c16="http://schemas.microsoft.com/office/drawing/2014/chart" uri="{C3380CC4-5D6E-409C-BE32-E72D297353CC}">
              <c16:uniqueId val="{00000000-E6CD-4542-AF9D-5AAE92D73FB3}"/>
            </c:ext>
          </c:extLst>
        </c:ser>
        <c:dLbls>
          <c:dLblPos val="outEnd"/>
          <c:showLegendKey val="0"/>
          <c:showVal val="1"/>
          <c:showCatName val="0"/>
          <c:showSerName val="0"/>
          <c:showPercent val="0"/>
          <c:showBubbleSize val="0"/>
        </c:dLbls>
        <c:gapWidth val="219"/>
        <c:overlap val="-27"/>
        <c:axId val="1751484832"/>
        <c:axId val="1751486272"/>
      </c:barChart>
      <c:catAx>
        <c:axId val="1751484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Bahnschrift SemiBold" panose="020B0502040204020203" pitchFamily="34" charset="0"/>
                <a:ea typeface="+mn-ea"/>
                <a:cs typeface="+mn-cs"/>
              </a:defRPr>
            </a:pPr>
            <a:endParaRPr lang="en-US"/>
          </a:p>
        </c:txPr>
        <c:crossAx val="1751486272"/>
        <c:crosses val="autoZero"/>
        <c:auto val="1"/>
        <c:lblAlgn val="ctr"/>
        <c:lblOffset val="100"/>
        <c:noMultiLvlLbl val="0"/>
      </c:catAx>
      <c:valAx>
        <c:axId val="17514862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14848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^0 Operations MIS Dashboard.xlsx]Pivot_Engine!PivotTable2</c:name>
    <c:fmtId val="7"/>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Category Analysis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marker>
          <c:symbol val="none"/>
        </c:marker>
        <c:dLbl>
          <c:idx val="0"/>
          <c:spPr>
            <a:solidFill>
              <a:schemeClr val="tx2">
                <a:lumMod val="20000"/>
                <a:lumOff val="80000"/>
                <a:alpha val="5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2">
                        <a:lumMod val="50000"/>
                      </a:schemeClr>
                    </a:solidFill>
                  </a:ln>
                  <a:solidFill>
                    <a:schemeClr val="accent2">
                      <a:lumMod val="50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Pivot_Engine!$F$6</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0217-49D3-9280-0E35B196A943}"/>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0217-49D3-9280-0E35B196A943}"/>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0217-49D3-9280-0E35B196A943}"/>
              </c:ext>
            </c:extLst>
          </c:dPt>
          <c:dLbls>
            <c:spPr>
              <a:solidFill>
                <a:schemeClr val="tx2">
                  <a:lumMod val="20000"/>
                  <a:lumOff val="80000"/>
                  <a:alpha val="5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2">
                          <a:lumMod val="50000"/>
                        </a:schemeClr>
                      </a:solidFill>
                    </a:ln>
                    <a:solidFill>
                      <a:schemeClr val="accent2">
                        <a:lumMod val="50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Pivot_Engine!$E$7:$E$10</c:f>
              <c:strCache>
                <c:ptCount val="3"/>
                <c:pt idx="0">
                  <c:v>Electronics</c:v>
                </c:pt>
                <c:pt idx="1">
                  <c:v>Furniture</c:v>
                </c:pt>
                <c:pt idx="2">
                  <c:v>Stationery</c:v>
                </c:pt>
              </c:strCache>
            </c:strRef>
          </c:cat>
          <c:val>
            <c:numRef>
              <c:f>Pivot_Engine!$F$7:$F$10</c:f>
              <c:numCache>
                <c:formatCode>General</c:formatCode>
                <c:ptCount val="3"/>
                <c:pt idx="0">
                  <c:v>98100</c:v>
                </c:pt>
                <c:pt idx="1">
                  <c:v>67700</c:v>
                </c:pt>
                <c:pt idx="2">
                  <c:v>11350</c:v>
                </c:pt>
              </c:numCache>
            </c:numRef>
          </c:val>
          <c:extLst>
            <c:ext xmlns:c16="http://schemas.microsoft.com/office/drawing/2014/chart" uri="{C3380CC4-5D6E-409C-BE32-E72D297353CC}">
              <c16:uniqueId val="{00000006-0217-49D3-9280-0E35B196A943}"/>
            </c:ext>
          </c:extLst>
        </c:ser>
        <c:dLbls>
          <c:dLblPos val="ctr"/>
          <c:showLegendKey val="0"/>
          <c:showVal val="1"/>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158750</xdr:colOff>
      <xdr:row>8</xdr:row>
      <xdr:rowOff>26196</xdr:rowOff>
    </xdr:from>
    <xdr:to>
      <xdr:col>7</xdr:col>
      <xdr:colOff>463550</xdr:colOff>
      <xdr:row>23</xdr:row>
      <xdr:rowOff>2780</xdr:rowOff>
    </xdr:to>
    <xdr:graphicFrame macro="">
      <xdr:nvGraphicFramePr>
        <xdr:cNvPr id="2" name="Chart 1">
          <a:extLst>
            <a:ext uri="{FF2B5EF4-FFF2-40B4-BE49-F238E27FC236}">
              <a16:creationId xmlns:a16="http://schemas.microsoft.com/office/drawing/2014/main" id="{521EC376-088A-4443-8412-3A700636AB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3168</xdr:colOff>
      <xdr:row>8</xdr:row>
      <xdr:rowOff>9923</xdr:rowOff>
    </xdr:from>
    <xdr:to>
      <xdr:col>14</xdr:col>
      <xdr:colOff>327421</xdr:colOff>
      <xdr:row>22</xdr:row>
      <xdr:rowOff>168673</xdr:rowOff>
    </xdr:to>
    <xdr:graphicFrame macro="">
      <xdr:nvGraphicFramePr>
        <xdr:cNvPr id="3" name="Chart 2">
          <a:extLst>
            <a:ext uri="{FF2B5EF4-FFF2-40B4-BE49-F238E27FC236}">
              <a16:creationId xmlns:a16="http://schemas.microsoft.com/office/drawing/2014/main" id="{132CD58C-7D22-4D63-B08C-B7F4F7F53F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158750</xdr:colOff>
      <xdr:row>4</xdr:row>
      <xdr:rowOff>29768</xdr:rowOff>
    </xdr:from>
    <xdr:to>
      <xdr:col>7</xdr:col>
      <xdr:colOff>466327</xdr:colOff>
      <xdr:row>7</xdr:row>
      <xdr:rowOff>109144</xdr:rowOff>
    </xdr:to>
    <mc:AlternateContent xmlns:mc="http://schemas.openxmlformats.org/markup-compatibility/2006">
      <mc:Choice xmlns:a14="http://schemas.microsoft.com/office/drawing/2010/main" Requires="a14">
        <xdr:graphicFrame macro="">
          <xdr:nvGraphicFramePr>
            <xdr:cNvPr id="4" name="Region">
              <a:extLst>
                <a:ext uri="{FF2B5EF4-FFF2-40B4-BE49-F238E27FC236}">
                  <a16:creationId xmlns:a16="http://schemas.microsoft.com/office/drawing/2014/main" id="{ECA3F4EC-22F3-194D-1BB7-756ED49D720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58750" y="764226"/>
              <a:ext cx="4591914" cy="6302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5951</xdr:colOff>
      <xdr:row>4</xdr:row>
      <xdr:rowOff>3</xdr:rowOff>
    </xdr:from>
    <xdr:to>
      <xdr:col>14</xdr:col>
      <xdr:colOff>347264</xdr:colOff>
      <xdr:row>7</xdr:row>
      <xdr:rowOff>79379</xdr:rowOff>
    </xdr:to>
    <mc:AlternateContent xmlns:mc="http://schemas.openxmlformats.org/markup-compatibility/2006">
      <mc:Choice xmlns:a14="http://schemas.microsoft.com/office/drawing/2010/main" Requires="a14">
        <xdr:graphicFrame macro="">
          <xdr:nvGraphicFramePr>
            <xdr:cNvPr id="5" name="Category">
              <a:extLst>
                <a:ext uri="{FF2B5EF4-FFF2-40B4-BE49-F238E27FC236}">
                  <a16:creationId xmlns:a16="http://schemas.microsoft.com/office/drawing/2014/main" id="{62875A3A-44B0-BCB9-E4D7-61B3CAD2F8D6}"/>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4902337" y="734461"/>
              <a:ext cx="4013602" cy="6302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198437</xdr:colOff>
      <xdr:row>0</xdr:row>
      <xdr:rowOff>69453</xdr:rowOff>
    </xdr:from>
    <xdr:to>
      <xdr:col>14</xdr:col>
      <xdr:colOff>357188</xdr:colOff>
      <xdr:row>3</xdr:row>
      <xdr:rowOff>29765</xdr:rowOff>
    </xdr:to>
    <xdr:sp macro="" textlink="">
      <xdr:nvSpPr>
        <xdr:cNvPr id="6" name="TextBox 5">
          <a:extLst>
            <a:ext uri="{FF2B5EF4-FFF2-40B4-BE49-F238E27FC236}">
              <a16:creationId xmlns:a16="http://schemas.microsoft.com/office/drawing/2014/main" id="{EA27B210-D221-27EC-08C9-6743750A2275}"/>
            </a:ext>
          </a:extLst>
        </xdr:cNvPr>
        <xdr:cNvSpPr txBox="1"/>
      </xdr:nvSpPr>
      <xdr:spPr>
        <a:xfrm>
          <a:off x="198437" y="69453"/>
          <a:ext cx="8632032" cy="52585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800" b="1">
              <a:solidFill>
                <a:schemeClr val="accent5">
                  <a:lumMod val="50000"/>
                </a:schemeClr>
              </a:solidFill>
              <a:latin typeface="Lucida Sans Typewriter" panose="020B0509030504030204" pitchFamily="49" charset="0"/>
            </a:rPr>
            <a:t>SALES &amp;</a:t>
          </a:r>
          <a:r>
            <a:rPr lang="en-IN" sz="2800" b="1" baseline="0">
              <a:solidFill>
                <a:schemeClr val="accent5">
                  <a:lumMod val="50000"/>
                </a:schemeClr>
              </a:solidFill>
              <a:latin typeface="Lucida Sans Typewriter" panose="020B0509030504030204" pitchFamily="49" charset="0"/>
            </a:rPr>
            <a:t> OPERATIONS </a:t>
          </a:r>
          <a:r>
            <a:rPr lang="en-IN" sz="2800" b="1">
              <a:solidFill>
                <a:schemeClr val="accent5">
                  <a:lumMod val="50000"/>
                </a:schemeClr>
              </a:solidFill>
              <a:latin typeface="Lucida Sans Typewriter" panose="020B0509030504030204" pitchFamily="49" charset="0"/>
            </a:rPr>
            <a:t>MIS REPORT</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19.717968750003" createdVersion="8" refreshedVersion="8" minRefreshableVersion="3" recordCount="56" xr:uid="{3E6FD015-EC2E-4DD3-825D-E7A493F9E196}">
  <cacheSource type="worksheet">
    <worksheetSource name="Table2"/>
  </cacheSource>
  <cacheFields count="7">
    <cacheField name="Date" numFmtId="15">
      <sharedItems containsSemiMixedTypes="0" containsNonDate="0" containsDate="1" containsString="0" minDate="2025-12-01T00:00:00" maxDate="2025-12-13T00:00:00"/>
    </cacheField>
    <cacheField name="Region" numFmtId="0">
      <sharedItems count="3">
        <s v="North"/>
        <s v="South"/>
        <s v="West"/>
      </sharedItems>
    </cacheField>
    <cacheField name="Product_ID" numFmtId="0">
      <sharedItems/>
    </cacheField>
    <cacheField name="Qty" numFmtId="0">
      <sharedItems containsSemiMixedTypes="0" containsString="0" containsNumber="1" containsInteger="1" minValue="1" maxValue="200"/>
    </cacheField>
    <cacheField name="Product" numFmtId="0">
      <sharedItems/>
    </cacheField>
    <cacheField name="Category" numFmtId="0">
      <sharedItems count="3">
        <s v="Electronics"/>
        <s v="Stationery"/>
        <s v="Furniture"/>
      </sharedItems>
    </cacheField>
    <cacheField name="Revenue" numFmtId="0">
      <sharedItems containsSemiMixedTypes="0" containsString="0" containsNumber="1" containsInteger="1" minValue="150" maxValue="12000"/>
    </cacheField>
  </cacheFields>
  <extLst>
    <ext xmlns:x14="http://schemas.microsoft.com/office/spreadsheetml/2009/9/main" uri="{725AE2AE-9491-48be-B2B4-4EB974FC3084}">
      <x14:pivotCacheDefinition pivotCacheId="142330219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6">
  <r>
    <d v="2025-12-01T00:00:00"/>
    <x v="0"/>
    <s v="P-101"/>
    <n v="12"/>
    <s v="Eco Mouse"/>
    <x v="0"/>
    <n v="500"/>
  </r>
  <r>
    <d v="2025-12-01T00:00:00"/>
    <x v="0"/>
    <s v="P-102"/>
    <n v="5"/>
    <s v="Pro Keyboard"/>
    <x v="0"/>
    <n v="1200"/>
  </r>
  <r>
    <d v="2025-12-01T00:00:00"/>
    <x v="0"/>
    <s v="P-106"/>
    <n v="2"/>
    <s v="Monitor 24in"/>
    <x v="0"/>
    <n v="12000"/>
  </r>
  <r>
    <d v="2025-12-02T00:00:00"/>
    <x v="0"/>
    <s v="P-105"/>
    <n v="50"/>
    <s v="Notebook Set"/>
    <x v="1"/>
    <n v="150"/>
  </r>
  <r>
    <d v="2025-12-02T00:00:00"/>
    <x v="0"/>
    <s v="P-101"/>
    <n v="8"/>
    <s v="Eco Mouse"/>
    <x v="0"/>
    <n v="500"/>
  </r>
  <r>
    <d v="2025-12-03T00:00:00"/>
    <x v="0"/>
    <s v="P-103"/>
    <n v="1"/>
    <s v="Ergo Chair"/>
    <x v="2"/>
    <n v="5500"/>
  </r>
  <r>
    <d v="2025-12-03T00:00:00"/>
    <x v="0"/>
    <s v="P-104"/>
    <n v="10"/>
    <s v="LED Lamp"/>
    <x v="2"/>
    <n v="900"/>
  </r>
  <r>
    <d v="2025-12-04T00:00:00"/>
    <x v="0"/>
    <s v="P-102"/>
    <n v="6"/>
    <s v="Pro Keyboard"/>
    <x v="0"/>
    <n v="1200"/>
  </r>
  <r>
    <d v="2025-12-04T00:00:00"/>
    <x v="0"/>
    <s v="P-106"/>
    <n v="3"/>
    <s v="Monitor 24in"/>
    <x v="0"/>
    <n v="12000"/>
  </r>
  <r>
    <d v="2025-12-05T00:00:00"/>
    <x v="0"/>
    <s v="P-101"/>
    <n v="15"/>
    <s v="Eco Mouse"/>
    <x v="0"/>
    <n v="500"/>
  </r>
  <r>
    <d v="2025-12-05T00:00:00"/>
    <x v="0"/>
    <s v="P-107"/>
    <n v="4"/>
    <s v="Whiteboard"/>
    <x v="1"/>
    <n v="2500"/>
  </r>
  <r>
    <d v="2025-12-06T00:00:00"/>
    <x v="0"/>
    <s v="P-103"/>
    <n v="2"/>
    <s v="Ergo Chair"/>
    <x v="2"/>
    <n v="5500"/>
  </r>
  <r>
    <d v="2025-12-06T00:00:00"/>
    <x v="0"/>
    <s v="P-105"/>
    <n v="30"/>
    <s v="Notebook Set"/>
    <x v="1"/>
    <n v="150"/>
  </r>
  <r>
    <d v="2025-12-07T00:00:00"/>
    <x v="0"/>
    <s v="P-102"/>
    <n v="8"/>
    <s v="Pro Keyboard"/>
    <x v="0"/>
    <n v="1200"/>
  </r>
  <r>
    <d v="2025-12-08T00:00:00"/>
    <x v="0"/>
    <s v="P-106"/>
    <n v="5"/>
    <s v="Monitor 24in"/>
    <x v="0"/>
    <n v="12000"/>
  </r>
  <r>
    <d v="2025-12-08T00:00:00"/>
    <x v="0"/>
    <s v="P-101"/>
    <n v="20"/>
    <s v="Eco Mouse"/>
    <x v="0"/>
    <n v="500"/>
  </r>
  <r>
    <d v="2025-12-09T00:00:00"/>
    <x v="0"/>
    <s v="P-104"/>
    <n v="12"/>
    <s v="LED Lamp"/>
    <x v="2"/>
    <n v="900"/>
  </r>
  <r>
    <d v="2025-12-10T00:00:00"/>
    <x v="0"/>
    <s v="P-103"/>
    <n v="3"/>
    <s v="Ergo Chair"/>
    <x v="2"/>
    <n v="5500"/>
  </r>
  <r>
    <d v="2025-12-10T00:00:00"/>
    <x v="0"/>
    <s v="P-102"/>
    <n v="10"/>
    <s v="Pro Keyboard"/>
    <x v="0"/>
    <n v="1200"/>
  </r>
  <r>
    <d v="2025-12-11T00:00:00"/>
    <x v="0"/>
    <s v="P-105"/>
    <n v="40"/>
    <s v="Notebook Set"/>
    <x v="1"/>
    <n v="150"/>
  </r>
  <r>
    <d v="2025-12-12T00:00:00"/>
    <x v="0"/>
    <s v="P-106"/>
    <n v="4"/>
    <s v="Monitor 24in"/>
    <x v="0"/>
    <n v="12000"/>
  </r>
  <r>
    <d v="2025-12-12T00:00:00"/>
    <x v="0"/>
    <s v="P-101"/>
    <n v="25"/>
    <s v="Eco Mouse"/>
    <x v="0"/>
    <n v="500"/>
  </r>
  <r>
    <d v="2025-12-01T00:00:00"/>
    <x v="1"/>
    <s v="P-103"/>
    <n v="5"/>
    <s v="Ergo Chair"/>
    <x v="2"/>
    <n v="5500"/>
  </r>
  <r>
    <d v="2025-12-01T00:00:00"/>
    <x v="1"/>
    <s v="P-104"/>
    <n v="15"/>
    <s v="LED Lamp"/>
    <x v="2"/>
    <n v="900"/>
  </r>
  <r>
    <d v="2025-12-02T00:00:00"/>
    <x v="1"/>
    <s v="P-103"/>
    <n v="4"/>
    <s v="Ergo Chair"/>
    <x v="2"/>
    <n v="5500"/>
  </r>
  <r>
    <d v="2025-12-03T00:00:00"/>
    <x v="1"/>
    <s v="P-101"/>
    <n v="10"/>
    <s v="Eco Mouse"/>
    <x v="0"/>
    <n v="500"/>
  </r>
  <r>
    <d v="2025-12-03T00:00:00"/>
    <x v="1"/>
    <s v="P-107"/>
    <n v="8"/>
    <s v="Whiteboard"/>
    <x v="1"/>
    <n v="2500"/>
  </r>
  <r>
    <d v="2025-12-04T00:00:00"/>
    <x v="1"/>
    <s v="P-103"/>
    <n v="6"/>
    <s v="Ergo Chair"/>
    <x v="2"/>
    <n v="5500"/>
  </r>
  <r>
    <d v="2025-12-05T00:00:00"/>
    <x v="1"/>
    <s v="P-104"/>
    <n v="20"/>
    <s v="LED Lamp"/>
    <x v="2"/>
    <n v="900"/>
  </r>
  <r>
    <d v="2025-12-05T00:00:00"/>
    <x v="1"/>
    <s v="P-102"/>
    <n v="5"/>
    <s v="Pro Keyboard"/>
    <x v="0"/>
    <n v="1200"/>
  </r>
  <r>
    <d v="2025-12-06T00:00:00"/>
    <x v="1"/>
    <s v="P-103"/>
    <n v="8"/>
    <s v="Ergo Chair"/>
    <x v="2"/>
    <n v="5500"/>
  </r>
  <r>
    <d v="2025-12-07T00:00:00"/>
    <x v="1"/>
    <s v="P-106"/>
    <n v="1"/>
    <s v="Monitor 24in"/>
    <x v="0"/>
    <n v="12000"/>
  </r>
  <r>
    <d v="2025-12-08T00:00:00"/>
    <x v="1"/>
    <s v="P-103"/>
    <n v="5"/>
    <s v="Ergo Chair"/>
    <x v="2"/>
    <n v="5500"/>
  </r>
  <r>
    <d v="2025-12-08T00:00:00"/>
    <x v="1"/>
    <s v="P-104"/>
    <n v="25"/>
    <s v="LED Lamp"/>
    <x v="2"/>
    <n v="900"/>
  </r>
  <r>
    <d v="2025-12-09T00:00:00"/>
    <x v="1"/>
    <s v="P-105"/>
    <n v="20"/>
    <s v="Notebook Set"/>
    <x v="1"/>
    <n v="150"/>
  </r>
  <r>
    <d v="2025-12-10T00:00:00"/>
    <x v="1"/>
    <s v="P-103"/>
    <n v="7"/>
    <s v="Ergo Chair"/>
    <x v="2"/>
    <n v="5500"/>
  </r>
  <r>
    <d v="2025-12-11T00:00:00"/>
    <x v="1"/>
    <s v="P-102"/>
    <n v="4"/>
    <s v="Pro Keyboard"/>
    <x v="0"/>
    <n v="1200"/>
  </r>
  <r>
    <d v="2025-12-11T00:00:00"/>
    <x v="1"/>
    <s v="P-104"/>
    <n v="18"/>
    <s v="LED Lamp"/>
    <x v="2"/>
    <n v="900"/>
  </r>
  <r>
    <d v="2025-12-12T00:00:00"/>
    <x v="1"/>
    <s v="P-103"/>
    <n v="10"/>
    <s v="Ergo Chair"/>
    <x v="2"/>
    <n v="5500"/>
  </r>
  <r>
    <d v="2025-12-12T00:00:00"/>
    <x v="1"/>
    <s v="P-106"/>
    <n v="2"/>
    <s v="Monitor 24in"/>
    <x v="0"/>
    <n v="12000"/>
  </r>
  <r>
    <d v="2025-12-02T00:00:00"/>
    <x v="2"/>
    <s v="P-105"/>
    <n v="100"/>
    <s v="Notebook Set"/>
    <x v="1"/>
    <n v="150"/>
  </r>
  <r>
    <d v="2025-12-02T00:00:00"/>
    <x v="2"/>
    <s v="P-107"/>
    <n v="10"/>
    <s v="Whiteboard"/>
    <x v="1"/>
    <n v="2500"/>
  </r>
  <r>
    <d v="2025-12-03T00:00:00"/>
    <x v="2"/>
    <s v="P-101"/>
    <n v="15"/>
    <s v="Eco Mouse"/>
    <x v="0"/>
    <n v="500"/>
  </r>
  <r>
    <d v="2025-12-03T00:00:00"/>
    <x v="2"/>
    <s v="P-102"/>
    <n v="8"/>
    <s v="Pro Keyboard"/>
    <x v="0"/>
    <n v="1200"/>
  </r>
  <r>
    <d v="2025-12-04T00:00:00"/>
    <x v="2"/>
    <s v="P-105"/>
    <n v="150"/>
    <s v="Notebook Set"/>
    <x v="1"/>
    <n v="150"/>
  </r>
  <r>
    <d v="2025-12-05T00:00:00"/>
    <x v="2"/>
    <s v="P-104"/>
    <n v="5"/>
    <s v="LED Lamp"/>
    <x v="2"/>
    <n v="900"/>
  </r>
  <r>
    <d v="2025-12-06T00:00:00"/>
    <x v="2"/>
    <s v="P-103"/>
    <n v="2"/>
    <s v="Ergo Chair"/>
    <x v="2"/>
    <n v="5500"/>
  </r>
  <r>
    <d v="2025-12-06T00:00:00"/>
    <x v="2"/>
    <s v="P-105"/>
    <n v="80"/>
    <s v="Notebook Set"/>
    <x v="1"/>
    <n v="150"/>
  </r>
  <r>
    <d v="2025-12-07T00:00:00"/>
    <x v="2"/>
    <s v="P-101"/>
    <n v="12"/>
    <s v="Eco Mouse"/>
    <x v="0"/>
    <n v="500"/>
  </r>
  <r>
    <d v="2025-12-08T00:00:00"/>
    <x v="2"/>
    <s v="P-107"/>
    <n v="15"/>
    <s v="Whiteboard"/>
    <x v="1"/>
    <n v="2500"/>
  </r>
  <r>
    <d v="2025-12-09T00:00:00"/>
    <x v="2"/>
    <s v="P-105"/>
    <n v="200"/>
    <s v="Notebook Set"/>
    <x v="1"/>
    <n v="150"/>
  </r>
  <r>
    <d v="2025-12-09T00:00:00"/>
    <x v="2"/>
    <s v="P-102"/>
    <n v="6"/>
    <s v="Pro Keyboard"/>
    <x v="0"/>
    <n v="1200"/>
  </r>
  <r>
    <d v="2025-12-10T00:00:00"/>
    <x v="2"/>
    <s v="P-104"/>
    <n v="8"/>
    <s v="LED Lamp"/>
    <x v="2"/>
    <n v="900"/>
  </r>
  <r>
    <d v="2025-12-11T00:00:00"/>
    <x v="2"/>
    <s v="P-105"/>
    <n v="120"/>
    <s v="Notebook Set"/>
    <x v="1"/>
    <n v="150"/>
  </r>
  <r>
    <d v="2025-12-12T00:00:00"/>
    <x v="2"/>
    <s v="P-101"/>
    <n v="20"/>
    <s v="Eco Mouse"/>
    <x v="0"/>
    <n v="500"/>
  </r>
  <r>
    <d v="2025-12-12T00:00:00"/>
    <x v="2"/>
    <s v="P-106"/>
    <n v="3"/>
    <s v="Monitor 24in"/>
    <x v="0"/>
    <n v="12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449B70B-FB78-4584-AA79-8C713C4F7044}" name="PivotTable2"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E6:F10" firstHeaderRow="1" firstDataRow="1" firstDataCol="1"/>
  <pivotFields count="7">
    <pivotField numFmtId="15" showAll="0"/>
    <pivotField showAll="0">
      <items count="4">
        <item x="0"/>
        <item x="1"/>
        <item x="2"/>
        <item t="default"/>
      </items>
    </pivotField>
    <pivotField showAll="0"/>
    <pivotField showAll="0"/>
    <pivotField showAll="0"/>
    <pivotField axis="axisRow" showAll="0">
      <items count="4">
        <item x="0"/>
        <item x="2"/>
        <item x="1"/>
        <item t="default"/>
      </items>
    </pivotField>
    <pivotField dataField="1" showAll="0"/>
  </pivotFields>
  <rowFields count="1">
    <field x="5"/>
  </rowFields>
  <rowItems count="4">
    <i>
      <x/>
    </i>
    <i>
      <x v="1"/>
    </i>
    <i>
      <x v="2"/>
    </i>
    <i t="grand">
      <x/>
    </i>
  </rowItems>
  <colItems count="1">
    <i/>
  </colItems>
  <dataFields count="1">
    <dataField name="Sum of Revenue" fld="6" baseField="0" baseItem="0"/>
  </dataFields>
  <chartFormats count="4">
    <chartFormat chart="7" format="5" series="1">
      <pivotArea type="data" outline="0" fieldPosition="0">
        <references count="1">
          <reference field="4294967294" count="1" selected="0">
            <x v="0"/>
          </reference>
        </references>
      </pivotArea>
    </chartFormat>
    <chartFormat chart="7" format="6">
      <pivotArea type="data" outline="0" fieldPosition="0">
        <references count="2">
          <reference field="4294967294" count="1" selected="0">
            <x v="0"/>
          </reference>
          <reference field="5" count="1" selected="0">
            <x v="0"/>
          </reference>
        </references>
      </pivotArea>
    </chartFormat>
    <chartFormat chart="7" format="7">
      <pivotArea type="data" outline="0" fieldPosition="0">
        <references count="2">
          <reference field="4294967294" count="1" selected="0">
            <x v="0"/>
          </reference>
          <reference field="5" count="1" selected="0">
            <x v="1"/>
          </reference>
        </references>
      </pivotArea>
    </chartFormat>
    <chartFormat chart="7" format="8">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D526018-5B4E-4BE9-98FD-8B6D146C6618}" name="PivotTable1"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6:B10" firstHeaderRow="1" firstDataRow="1" firstDataCol="1"/>
  <pivotFields count="7">
    <pivotField numFmtId="15" showAll="0"/>
    <pivotField axis="axisRow" showAll="0">
      <items count="4">
        <item x="0"/>
        <item x="1"/>
        <item x="2"/>
        <item t="default"/>
      </items>
    </pivotField>
    <pivotField showAll="0"/>
    <pivotField showAll="0"/>
    <pivotField showAll="0"/>
    <pivotField showAll="0">
      <items count="4">
        <item x="0"/>
        <item x="2"/>
        <item x="1"/>
        <item t="default"/>
      </items>
    </pivotField>
    <pivotField dataField="1" showAll="0"/>
  </pivotFields>
  <rowFields count="1">
    <field x="1"/>
  </rowFields>
  <rowItems count="4">
    <i>
      <x/>
    </i>
    <i>
      <x v="1"/>
    </i>
    <i>
      <x v="2"/>
    </i>
    <i t="grand">
      <x/>
    </i>
  </rowItems>
  <colItems count="1">
    <i/>
  </colItems>
  <dataFields count="1">
    <dataField name="Sum of Revenue" fld="6" baseField="0" baseItem="0"/>
  </dataFields>
  <chartFormats count="2">
    <chartFormat chart="8" format="2" series="1">
      <pivotArea type="data" outline="0" fieldPosition="0">
        <references count="1">
          <reference field="4294967294" count="1" selected="0">
            <x v="0"/>
          </reference>
        </references>
      </pivotArea>
    </chartFormat>
    <chartFormat chart="8" format="3">
      <pivotArea type="data" outline="0" fieldPosition="0">
        <references count="2">
          <reference field="4294967294" count="1" selected="0">
            <x v="0"/>
          </reference>
          <reference field="1"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A0EE2BE-DB3A-425E-BD08-F29F1FF0D792}" sourceName="Region">
  <pivotTables>
    <pivotTable tabId="6" name="PivotTable1"/>
    <pivotTable tabId="6" name="PivotTable2"/>
  </pivotTables>
  <data>
    <tabular pivotCacheId="1423302193">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98DCDF56-4AB0-4E05-8411-1C1C0E7097DE}" sourceName="Category">
  <pivotTables>
    <pivotTable tabId="6" name="PivotTable1"/>
    <pivotTable tabId="6" name="PivotTable2"/>
  </pivotTables>
  <data>
    <tabular pivotCacheId="1423302193">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294206E5-9AA1-46CF-8626-92C15A4D4AE2}" cache="Slicer_Region" caption="Region" columnCount="3" style="SlicerStyleDark1" rowHeight="241300"/>
  <slicer name="Category" xr10:uid="{5B48DBF1-3994-48EE-A6E8-C1E1A8BE3F33}" cache="Slicer_Category" caption="Category" columnCount="3" style="SlicerStyleDark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500EA41C-4B8C-41E5-BD62-1204977550FF}" name="Table7" displayName="Table7" ref="A1:D8" totalsRowShown="0" headerRowDxfId="15" headerRowBorderDxfId="21" tableBorderDxfId="22" totalsRowBorderDxfId="20">
  <autoFilter ref="A1:D8" xr:uid="{500EA41C-4B8C-41E5-BD62-1204977550FF}"/>
  <tableColumns count="4">
    <tableColumn id="1" xr3:uid="{52376FBB-D3F9-448C-9EC6-9DAE61971EE7}" name="Product_ID" dataDxfId="19"/>
    <tableColumn id="2" xr3:uid="{BB33C231-E0DB-410C-86A5-290E1FD9F998}" name="Product_Name" dataDxfId="18"/>
    <tableColumn id="3" xr3:uid="{7A0C9259-22D2-4453-AFB4-DCB488B3372B}" name="Category" dataDxfId="17"/>
    <tableColumn id="4" xr3:uid="{1BCE48D0-30DA-464A-84FC-A34C38600255}" name="Unit_Price" dataDxfId="16"/>
  </tableColumns>
  <tableStyleInfo name="TableStyleLight15"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35EB934-B202-4C6C-8911-96668287A251}" name="Table4" displayName="Table4" ref="A1:D23" totalsRowShown="0" headerRowDxfId="33" headerRowBorderDxfId="39" tableBorderDxfId="40" totalsRowBorderDxfId="38">
  <autoFilter ref="A1:D23" xr:uid="{535EB934-B202-4C6C-8911-96668287A251}"/>
  <tableColumns count="4">
    <tableColumn id="1" xr3:uid="{7736FB33-F998-4602-85DF-952D08350F2F}" name="Date" dataDxfId="37"/>
    <tableColumn id="2" xr3:uid="{AFB23EC2-BEA2-4BAE-B2CA-2443485D5628}" name="Region" dataDxfId="36"/>
    <tableColumn id="3" xr3:uid="{E3D631D3-A36F-43A0-A7F2-8FF81CB0EA99}" name="Product_ID" dataDxfId="35"/>
    <tableColumn id="4" xr3:uid="{12A667F0-AD02-4576-83CF-9D7F697A9A3F}" name="Qty" dataDxfId="34"/>
  </tableColumns>
  <tableStyleInfo name="TableStyleMedium15"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72405B1-3C5A-469A-A848-1994CBC1EF65}" name="Table5" displayName="Table5" ref="A1:D19" totalsRowShown="0" headerRowDxfId="25" headerRowBorderDxfId="31" tableBorderDxfId="32" totalsRowBorderDxfId="30">
  <autoFilter ref="A1:D19" xr:uid="{A72405B1-3C5A-469A-A848-1994CBC1EF65}"/>
  <tableColumns count="4">
    <tableColumn id="1" xr3:uid="{C5415421-636A-4466-AA8B-21052C9229B7}" name="Date" dataDxfId="29"/>
    <tableColumn id="2" xr3:uid="{C9BB9F0D-F2D1-4C3F-8C6B-495CC4223736}" name="Region" dataDxfId="28"/>
    <tableColumn id="3" xr3:uid="{0B3BE8B0-7A24-4C8E-8706-25646560DBD0}" name="Product_ID" dataDxfId="27"/>
    <tableColumn id="4" xr3:uid="{3E7FFCF7-615A-44AD-A7F6-E7EE8201D56F}" name="Qty" dataDxfId="26"/>
  </tableColumns>
  <tableStyleInfo name="TableStyleMedium15"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65F58F5-BA66-4927-A708-9D446641349E}" name="Table6" displayName="Table6" ref="A1:D17" totalsRowShown="0" headerRowDxfId="14" headerRowBorderDxfId="12" tableBorderDxfId="13" totalsRowBorderDxfId="11">
  <autoFilter ref="A1:D17" xr:uid="{065F58F5-BA66-4927-A708-9D446641349E}"/>
  <tableColumns count="4">
    <tableColumn id="1" xr3:uid="{8BE8EBD0-B005-4D59-A862-E9055A9DB8A5}" name="Date" dataDxfId="10"/>
    <tableColumn id="2" xr3:uid="{47601DF6-EE0E-4D76-A2E2-64032DEA9A35}" name="Region" dataDxfId="9"/>
    <tableColumn id="3" xr3:uid="{DBF86376-F3A3-4DDE-8A75-8AA749C9C49F}" name="Product_ID" dataDxfId="8"/>
    <tableColumn id="4" xr3:uid="{A5DE9A38-EB70-4D28-B775-5C0E7952D715}" name="Qty" dataDxfId="7"/>
  </tableColumns>
  <tableStyleInfo name="TableStyleMedium15"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1A33FF1-0E77-4BD3-85DE-49E291175578}" name="Table2" displayName="Table2" ref="A1:G57" totalsRowShown="0" headerRowDxfId="24" dataDxfId="23" headerRowBorderDxfId="44" tableBorderDxfId="45" totalsRowBorderDxfId="43">
  <autoFilter ref="A1:G57" xr:uid="{01A33FF1-0E77-4BD3-85DE-49E291175578}"/>
  <tableColumns count="7">
    <tableColumn id="1" xr3:uid="{38F64986-DE04-47FF-9D78-62F130BD3350}" name="Date" dataDxfId="6"/>
    <tableColumn id="2" xr3:uid="{42A046E9-4A6B-401F-B7F7-2BD2EB40FAB9}" name="Region" dataDxfId="5"/>
    <tableColumn id="3" xr3:uid="{57B3E008-170B-4F34-AD6F-E05C32DAFD9E}" name="Product_ID" dataDxfId="4"/>
    <tableColumn id="4" xr3:uid="{C2763B23-5842-4C5D-893C-7F0607296921}" name="Qty" dataDxfId="3"/>
    <tableColumn id="5" xr3:uid="{33A5DCD2-1456-4133-9931-5B0873F2B20D}" name="Product" dataDxfId="2">
      <calculatedColumnFormula>VLOOKUP(Table2[[#This Row],[Product_ID]],Master!$A$2:$D$8,2,FALSE)</calculatedColumnFormula>
    </tableColumn>
    <tableColumn id="6" xr3:uid="{E224D7F3-6A82-450F-BA4E-508EAEA1CE2B}" name="Category" dataDxfId="1">
      <calculatedColumnFormula>VLOOKUP(Table2[[#This Row],[Product_ID]],Master!$A$2:$D$8,3,FALSE)</calculatedColumnFormula>
    </tableColumn>
    <tableColumn id="7" xr3:uid="{60F11ACF-C2F9-4196-8972-FF2D0A2393C0}" name="Revenue" dataDxfId="0">
      <calculatedColumnFormula>VLOOKUP(Table2[[#This Row],[Product_ID]],Master!$A$2:$D$8,4,FALSE)</calculatedColumnFormula>
    </tableColumn>
  </tableColumns>
  <tableStyleInfo name="TableStyleMedium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8"/>
  <sheetViews>
    <sheetView workbookViewId="0">
      <selection activeCell="B4" sqref="B4"/>
    </sheetView>
  </sheetViews>
  <sheetFormatPr defaultRowHeight="14.5" x14ac:dyDescent="0.35"/>
  <cols>
    <col min="1" max="1" width="13.1796875" customWidth="1"/>
    <col min="2" max="2" width="16.6328125" customWidth="1"/>
    <col min="3" max="3" width="11.1796875" customWidth="1"/>
    <col min="4" max="4" width="12.36328125" customWidth="1"/>
  </cols>
  <sheetData>
    <row r="1" spans="1:4" ht="15" thickBot="1" x14ac:dyDescent="0.4">
      <c r="A1" s="15" t="s">
        <v>0</v>
      </c>
      <c r="B1" s="16" t="s">
        <v>1</v>
      </c>
      <c r="C1" s="16" t="s">
        <v>2</v>
      </c>
      <c r="D1" s="17" t="s">
        <v>3</v>
      </c>
    </row>
    <row r="2" spans="1:4" ht="15" thickBot="1" x14ac:dyDescent="0.4">
      <c r="A2" s="13" t="s">
        <v>4</v>
      </c>
      <c r="B2" s="12" t="s">
        <v>13</v>
      </c>
      <c r="C2" s="12" t="s">
        <v>5</v>
      </c>
      <c r="D2" s="14">
        <v>500</v>
      </c>
    </row>
    <row r="3" spans="1:4" ht="15" thickBot="1" x14ac:dyDescent="0.4">
      <c r="A3" s="13" t="s">
        <v>6</v>
      </c>
      <c r="B3" s="12" t="s">
        <v>14</v>
      </c>
      <c r="C3" s="12" t="s">
        <v>5</v>
      </c>
      <c r="D3" s="14">
        <v>1200</v>
      </c>
    </row>
    <row r="4" spans="1:4" ht="15" thickBot="1" x14ac:dyDescent="0.4">
      <c r="A4" s="13" t="s">
        <v>7</v>
      </c>
      <c r="B4" s="12" t="s">
        <v>15</v>
      </c>
      <c r="C4" s="12" t="s">
        <v>8</v>
      </c>
      <c r="D4" s="14">
        <v>5500</v>
      </c>
    </row>
    <row r="5" spans="1:4" ht="15" thickBot="1" x14ac:dyDescent="0.4">
      <c r="A5" s="13" t="s">
        <v>9</v>
      </c>
      <c r="B5" s="12" t="s">
        <v>16</v>
      </c>
      <c r="C5" s="12" t="s">
        <v>8</v>
      </c>
      <c r="D5" s="14">
        <v>900</v>
      </c>
    </row>
    <row r="6" spans="1:4" ht="15" thickBot="1" x14ac:dyDescent="0.4">
      <c r="A6" s="18" t="s">
        <v>10</v>
      </c>
      <c r="B6" s="19" t="s">
        <v>11</v>
      </c>
      <c r="C6" s="19" t="s">
        <v>12</v>
      </c>
      <c r="D6" s="20">
        <v>150</v>
      </c>
    </row>
    <row r="7" spans="1:4" ht="15" thickBot="1" x14ac:dyDescent="0.4">
      <c r="A7" s="13" t="s">
        <v>28</v>
      </c>
      <c r="B7" s="12" t="s">
        <v>29</v>
      </c>
      <c r="C7" s="12" t="s">
        <v>5</v>
      </c>
      <c r="D7" s="14">
        <v>12000</v>
      </c>
    </row>
    <row r="8" spans="1:4" x14ac:dyDescent="0.35">
      <c r="A8" s="18" t="s">
        <v>30</v>
      </c>
      <c r="B8" s="19" t="s">
        <v>31</v>
      </c>
      <c r="C8" s="19" t="s">
        <v>12</v>
      </c>
      <c r="D8" s="20">
        <v>2500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7CBA8C-0178-419B-9CC3-AA2B44F4B1DB}">
  <dimension ref="A1:D23"/>
  <sheetViews>
    <sheetView workbookViewId="0">
      <selection activeCell="A2" sqref="A2:D23"/>
    </sheetView>
  </sheetViews>
  <sheetFormatPr defaultRowHeight="14.5" x14ac:dyDescent="0.35"/>
  <cols>
    <col min="1" max="1" width="10" bestFit="1" customWidth="1"/>
    <col min="2" max="2" width="9.36328125" customWidth="1"/>
    <col min="3" max="3" width="13.1796875" customWidth="1"/>
  </cols>
  <sheetData>
    <row r="1" spans="1:4" ht="15" thickBot="1" x14ac:dyDescent="0.4">
      <c r="A1" s="23" t="s">
        <v>17</v>
      </c>
      <c r="B1" s="24" t="s">
        <v>18</v>
      </c>
      <c r="C1" s="24" t="s">
        <v>0</v>
      </c>
      <c r="D1" s="25" t="s">
        <v>19</v>
      </c>
    </row>
    <row r="2" spans="1:4" ht="15" thickBot="1" x14ac:dyDescent="0.4">
      <c r="A2" s="21">
        <v>45992</v>
      </c>
      <c r="B2" s="12" t="s">
        <v>20</v>
      </c>
      <c r="C2" s="12" t="s">
        <v>4</v>
      </c>
      <c r="D2" s="14">
        <v>12</v>
      </c>
    </row>
    <row r="3" spans="1:4" ht="15" thickBot="1" x14ac:dyDescent="0.4">
      <c r="A3" s="21">
        <v>45992</v>
      </c>
      <c r="B3" s="12" t="s">
        <v>20</v>
      </c>
      <c r="C3" s="12" t="s">
        <v>6</v>
      </c>
      <c r="D3" s="14">
        <v>5</v>
      </c>
    </row>
    <row r="4" spans="1:4" ht="15" thickBot="1" x14ac:dyDescent="0.4">
      <c r="A4" s="21">
        <v>45992</v>
      </c>
      <c r="B4" s="12" t="s">
        <v>20</v>
      </c>
      <c r="C4" s="12" t="s">
        <v>28</v>
      </c>
      <c r="D4" s="14">
        <v>2</v>
      </c>
    </row>
    <row r="5" spans="1:4" ht="15" thickBot="1" x14ac:dyDescent="0.4">
      <c r="A5" s="22">
        <v>45993</v>
      </c>
      <c r="B5" s="19" t="s">
        <v>20</v>
      </c>
      <c r="C5" s="19" t="s">
        <v>10</v>
      </c>
      <c r="D5" s="20">
        <v>50</v>
      </c>
    </row>
    <row r="6" spans="1:4" ht="15" thickBot="1" x14ac:dyDescent="0.4">
      <c r="A6" s="21">
        <v>45993</v>
      </c>
      <c r="B6" s="12" t="s">
        <v>20</v>
      </c>
      <c r="C6" s="12" t="s">
        <v>4</v>
      </c>
      <c r="D6" s="14">
        <v>8</v>
      </c>
    </row>
    <row r="7" spans="1:4" ht="15" thickBot="1" x14ac:dyDescent="0.4">
      <c r="A7" s="21">
        <v>45994</v>
      </c>
      <c r="B7" s="12" t="s">
        <v>20</v>
      </c>
      <c r="C7" s="12" t="s">
        <v>7</v>
      </c>
      <c r="D7" s="14">
        <v>1</v>
      </c>
    </row>
    <row r="8" spans="1:4" ht="15" thickBot="1" x14ac:dyDescent="0.4">
      <c r="A8" s="21">
        <v>45994</v>
      </c>
      <c r="B8" s="12" t="s">
        <v>20</v>
      </c>
      <c r="C8" s="12" t="s">
        <v>9</v>
      </c>
      <c r="D8" s="14">
        <v>10</v>
      </c>
    </row>
    <row r="9" spans="1:4" ht="15" thickBot="1" x14ac:dyDescent="0.4">
      <c r="A9" s="21">
        <v>45995</v>
      </c>
      <c r="B9" s="12" t="s">
        <v>20</v>
      </c>
      <c r="C9" s="12" t="s">
        <v>6</v>
      </c>
      <c r="D9" s="14">
        <v>6</v>
      </c>
    </row>
    <row r="10" spans="1:4" ht="15" thickBot="1" x14ac:dyDescent="0.4">
      <c r="A10" s="21">
        <v>45995</v>
      </c>
      <c r="B10" s="12" t="s">
        <v>20</v>
      </c>
      <c r="C10" s="12" t="s">
        <v>28</v>
      </c>
      <c r="D10" s="14">
        <v>3</v>
      </c>
    </row>
    <row r="11" spans="1:4" ht="15" thickBot="1" x14ac:dyDescent="0.4">
      <c r="A11" s="21">
        <v>45996</v>
      </c>
      <c r="B11" s="12" t="s">
        <v>20</v>
      </c>
      <c r="C11" s="12" t="s">
        <v>4</v>
      </c>
      <c r="D11" s="14">
        <v>15</v>
      </c>
    </row>
    <row r="12" spans="1:4" ht="15" thickBot="1" x14ac:dyDescent="0.4">
      <c r="A12" s="21">
        <v>45996</v>
      </c>
      <c r="B12" s="12" t="s">
        <v>20</v>
      </c>
      <c r="C12" s="12" t="s">
        <v>30</v>
      </c>
      <c r="D12" s="14">
        <v>4</v>
      </c>
    </row>
    <row r="13" spans="1:4" ht="15" thickBot="1" x14ac:dyDescent="0.4">
      <c r="A13" s="21">
        <v>45997</v>
      </c>
      <c r="B13" s="12" t="s">
        <v>20</v>
      </c>
      <c r="C13" s="12" t="s">
        <v>7</v>
      </c>
      <c r="D13" s="14">
        <v>2</v>
      </c>
    </row>
    <row r="14" spans="1:4" ht="15" thickBot="1" x14ac:dyDescent="0.4">
      <c r="A14" s="21">
        <v>45997</v>
      </c>
      <c r="B14" s="12" t="s">
        <v>20</v>
      </c>
      <c r="C14" s="12" t="s">
        <v>10</v>
      </c>
      <c r="D14" s="14">
        <v>30</v>
      </c>
    </row>
    <row r="15" spans="1:4" ht="15" thickBot="1" x14ac:dyDescent="0.4">
      <c r="A15" s="21">
        <v>45998</v>
      </c>
      <c r="B15" s="12" t="s">
        <v>20</v>
      </c>
      <c r="C15" s="12" t="s">
        <v>6</v>
      </c>
      <c r="D15" s="14">
        <v>8</v>
      </c>
    </row>
    <row r="16" spans="1:4" ht="15" thickBot="1" x14ac:dyDescent="0.4">
      <c r="A16" s="21">
        <v>45999</v>
      </c>
      <c r="B16" s="12" t="s">
        <v>20</v>
      </c>
      <c r="C16" s="12" t="s">
        <v>28</v>
      </c>
      <c r="D16" s="14">
        <v>5</v>
      </c>
    </row>
    <row r="17" spans="1:4" ht="15" thickBot="1" x14ac:dyDescent="0.4">
      <c r="A17" s="21">
        <v>45999</v>
      </c>
      <c r="B17" s="12" t="s">
        <v>20</v>
      </c>
      <c r="C17" s="12" t="s">
        <v>4</v>
      </c>
      <c r="D17" s="14">
        <v>20</v>
      </c>
    </row>
    <row r="18" spans="1:4" ht="15" thickBot="1" x14ac:dyDescent="0.4">
      <c r="A18" s="21">
        <v>46000</v>
      </c>
      <c r="B18" s="12" t="s">
        <v>20</v>
      </c>
      <c r="C18" s="12" t="s">
        <v>9</v>
      </c>
      <c r="D18" s="14">
        <v>12</v>
      </c>
    </row>
    <row r="19" spans="1:4" ht="15" thickBot="1" x14ac:dyDescent="0.4">
      <c r="A19" s="21">
        <v>46001</v>
      </c>
      <c r="B19" s="12" t="s">
        <v>20</v>
      </c>
      <c r="C19" s="12" t="s">
        <v>7</v>
      </c>
      <c r="D19" s="14">
        <v>3</v>
      </c>
    </row>
    <row r="20" spans="1:4" ht="15" thickBot="1" x14ac:dyDescent="0.4">
      <c r="A20" s="21">
        <v>46001</v>
      </c>
      <c r="B20" s="12" t="s">
        <v>20</v>
      </c>
      <c r="C20" s="12" t="s">
        <v>6</v>
      </c>
      <c r="D20" s="14">
        <v>10</v>
      </c>
    </row>
    <row r="21" spans="1:4" ht="15" thickBot="1" x14ac:dyDescent="0.4">
      <c r="A21" s="21">
        <v>46002</v>
      </c>
      <c r="B21" s="12" t="s">
        <v>20</v>
      </c>
      <c r="C21" s="12" t="s">
        <v>10</v>
      </c>
      <c r="D21" s="14">
        <v>40</v>
      </c>
    </row>
    <row r="22" spans="1:4" ht="15" thickBot="1" x14ac:dyDescent="0.4">
      <c r="A22" s="21">
        <v>46003</v>
      </c>
      <c r="B22" s="12" t="s">
        <v>20</v>
      </c>
      <c r="C22" s="12" t="s">
        <v>28</v>
      </c>
      <c r="D22" s="14">
        <v>4</v>
      </c>
    </row>
    <row r="23" spans="1:4" ht="15" thickBot="1" x14ac:dyDescent="0.4">
      <c r="A23" s="21">
        <v>46003</v>
      </c>
      <c r="B23" s="12" t="s">
        <v>20</v>
      </c>
      <c r="C23" s="12" t="s">
        <v>4</v>
      </c>
      <c r="D23" s="14">
        <v>25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631637-9F3E-4957-B6A4-1870C83404A3}">
  <dimension ref="A1:D19"/>
  <sheetViews>
    <sheetView workbookViewId="0">
      <selection activeCell="A2" sqref="A2:D19"/>
    </sheetView>
  </sheetViews>
  <sheetFormatPr defaultRowHeight="14.5" x14ac:dyDescent="0.35"/>
  <cols>
    <col min="1" max="1" width="10" bestFit="1" customWidth="1"/>
    <col min="2" max="2" width="9.36328125" customWidth="1"/>
    <col min="3" max="3" width="13.1796875" customWidth="1"/>
  </cols>
  <sheetData>
    <row r="1" spans="1:4" s="29" customFormat="1" ht="15" thickBot="1" x14ac:dyDescent="0.4">
      <c r="A1" s="26" t="s">
        <v>17</v>
      </c>
      <c r="B1" s="27" t="s">
        <v>18</v>
      </c>
      <c r="C1" s="27" t="s">
        <v>0</v>
      </c>
      <c r="D1" s="28" t="s">
        <v>19</v>
      </c>
    </row>
    <row r="2" spans="1:4" ht="15" thickBot="1" x14ac:dyDescent="0.4">
      <c r="A2" s="6">
        <v>45992</v>
      </c>
      <c r="B2" s="1" t="s">
        <v>21</v>
      </c>
      <c r="C2" s="1" t="s">
        <v>7</v>
      </c>
      <c r="D2" s="2">
        <v>5</v>
      </c>
    </row>
    <row r="3" spans="1:4" ht="15" thickBot="1" x14ac:dyDescent="0.4">
      <c r="A3" s="6">
        <v>45992</v>
      </c>
      <c r="B3" s="1" t="s">
        <v>21</v>
      </c>
      <c r="C3" s="1" t="s">
        <v>9</v>
      </c>
      <c r="D3" s="2">
        <v>15</v>
      </c>
    </row>
    <row r="4" spans="1:4" ht="15" thickBot="1" x14ac:dyDescent="0.4">
      <c r="A4" s="6">
        <v>45993</v>
      </c>
      <c r="B4" s="1" t="s">
        <v>21</v>
      </c>
      <c r="C4" s="1" t="s">
        <v>7</v>
      </c>
      <c r="D4" s="2">
        <v>4</v>
      </c>
    </row>
    <row r="5" spans="1:4" ht="15" thickBot="1" x14ac:dyDescent="0.4">
      <c r="A5" s="7">
        <v>45994</v>
      </c>
      <c r="B5" s="3" t="s">
        <v>21</v>
      </c>
      <c r="C5" s="3" t="s">
        <v>4</v>
      </c>
      <c r="D5" s="4">
        <v>10</v>
      </c>
    </row>
    <row r="6" spans="1:4" ht="15" thickBot="1" x14ac:dyDescent="0.4">
      <c r="A6" s="6">
        <v>45994</v>
      </c>
      <c r="B6" s="1" t="s">
        <v>21</v>
      </c>
      <c r="C6" s="1" t="s">
        <v>30</v>
      </c>
      <c r="D6" s="2">
        <v>8</v>
      </c>
    </row>
    <row r="7" spans="1:4" ht="15" thickBot="1" x14ac:dyDescent="0.4">
      <c r="A7" s="6">
        <v>45995</v>
      </c>
      <c r="B7" s="1" t="s">
        <v>21</v>
      </c>
      <c r="C7" s="1" t="s">
        <v>7</v>
      </c>
      <c r="D7" s="2">
        <v>6</v>
      </c>
    </row>
    <row r="8" spans="1:4" ht="15" thickBot="1" x14ac:dyDescent="0.4">
      <c r="A8" s="6">
        <v>45996</v>
      </c>
      <c r="B8" s="1" t="s">
        <v>21</v>
      </c>
      <c r="C8" s="1" t="s">
        <v>9</v>
      </c>
      <c r="D8" s="2">
        <v>20</v>
      </c>
    </row>
    <row r="9" spans="1:4" ht="15" thickBot="1" x14ac:dyDescent="0.4">
      <c r="A9" s="6">
        <v>45996</v>
      </c>
      <c r="B9" s="1" t="s">
        <v>21</v>
      </c>
      <c r="C9" s="1" t="s">
        <v>6</v>
      </c>
      <c r="D9" s="2">
        <v>5</v>
      </c>
    </row>
    <row r="10" spans="1:4" ht="15" thickBot="1" x14ac:dyDescent="0.4">
      <c r="A10" s="6">
        <v>45997</v>
      </c>
      <c r="B10" s="1" t="s">
        <v>21</v>
      </c>
      <c r="C10" s="1" t="s">
        <v>7</v>
      </c>
      <c r="D10" s="2">
        <v>8</v>
      </c>
    </row>
    <row r="11" spans="1:4" ht="15" thickBot="1" x14ac:dyDescent="0.4">
      <c r="A11" s="6">
        <v>45998</v>
      </c>
      <c r="B11" s="1" t="s">
        <v>21</v>
      </c>
      <c r="C11" s="1" t="s">
        <v>28</v>
      </c>
      <c r="D11" s="2">
        <v>1</v>
      </c>
    </row>
    <row r="12" spans="1:4" ht="15" thickBot="1" x14ac:dyDescent="0.4">
      <c r="A12" s="6">
        <v>45999</v>
      </c>
      <c r="B12" s="1" t="s">
        <v>21</v>
      </c>
      <c r="C12" s="1" t="s">
        <v>7</v>
      </c>
      <c r="D12" s="2">
        <v>5</v>
      </c>
    </row>
    <row r="13" spans="1:4" ht="15" thickBot="1" x14ac:dyDescent="0.4">
      <c r="A13" s="6">
        <v>45999</v>
      </c>
      <c r="B13" s="1" t="s">
        <v>21</v>
      </c>
      <c r="C13" s="1" t="s">
        <v>9</v>
      </c>
      <c r="D13" s="2">
        <v>25</v>
      </c>
    </row>
    <row r="14" spans="1:4" ht="15" thickBot="1" x14ac:dyDescent="0.4">
      <c r="A14" s="6">
        <v>46000</v>
      </c>
      <c r="B14" s="1" t="s">
        <v>21</v>
      </c>
      <c r="C14" s="1" t="s">
        <v>10</v>
      </c>
      <c r="D14" s="2">
        <v>20</v>
      </c>
    </row>
    <row r="15" spans="1:4" ht="15" thickBot="1" x14ac:dyDescent="0.4">
      <c r="A15" s="6">
        <v>46001</v>
      </c>
      <c r="B15" s="1" t="s">
        <v>21</v>
      </c>
      <c r="C15" s="1" t="s">
        <v>7</v>
      </c>
      <c r="D15" s="2">
        <v>7</v>
      </c>
    </row>
    <row r="16" spans="1:4" ht="15" thickBot="1" x14ac:dyDescent="0.4">
      <c r="A16" s="6">
        <v>46002</v>
      </c>
      <c r="B16" s="1" t="s">
        <v>21</v>
      </c>
      <c r="C16" s="1" t="s">
        <v>6</v>
      </c>
      <c r="D16" s="2">
        <v>4</v>
      </c>
    </row>
    <row r="17" spans="1:4" ht="15" thickBot="1" x14ac:dyDescent="0.4">
      <c r="A17" s="6">
        <v>46002</v>
      </c>
      <c r="B17" s="1" t="s">
        <v>21</v>
      </c>
      <c r="C17" s="1" t="s">
        <v>9</v>
      </c>
      <c r="D17" s="2">
        <v>18</v>
      </c>
    </row>
    <row r="18" spans="1:4" ht="15" thickBot="1" x14ac:dyDescent="0.4">
      <c r="A18" s="6">
        <v>46003</v>
      </c>
      <c r="B18" s="1" t="s">
        <v>21</v>
      </c>
      <c r="C18" s="1" t="s">
        <v>7</v>
      </c>
      <c r="D18" s="2">
        <v>10</v>
      </c>
    </row>
    <row r="19" spans="1:4" ht="15" thickBot="1" x14ac:dyDescent="0.4">
      <c r="A19" s="6">
        <v>46003</v>
      </c>
      <c r="B19" s="1" t="s">
        <v>21</v>
      </c>
      <c r="C19" s="1" t="s">
        <v>28</v>
      </c>
      <c r="D19" s="2">
        <v>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407AB0-8E54-41FC-9B77-324792A77808}">
  <dimension ref="A1:D17"/>
  <sheetViews>
    <sheetView workbookViewId="0">
      <selection activeCell="A2" sqref="A2:D17"/>
    </sheetView>
  </sheetViews>
  <sheetFormatPr defaultRowHeight="14.5" x14ac:dyDescent="0.35"/>
  <cols>
    <col min="1" max="2" width="10" bestFit="1" customWidth="1"/>
    <col min="3" max="3" width="13.1796875" customWidth="1"/>
  </cols>
  <sheetData>
    <row r="1" spans="1:4" ht="15" thickBot="1" x14ac:dyDescent="0.4">
      <c r="A1" s="26" t="s">
        <v>17</v>
      </c>
      <c r="B1" s="23" t="s">
        <v>18</v>
      </c>
      <c r="C1" s="24" t="s">
        <v>0</v>
      </c>
      <c r="D1" s="24" t="s">
        <v>19</v>
      </c>
    </row>
    <row r="2" spans="1:4" ht="15" thickBot="1" x14ac:dyDescent="0.4">
      <c r="A2" s="6">
        <v>45993</v>
      </c>
      <c r="B2" s="5" t="s">
        <v>22</v>
      </c>
      <c r="C2" s="1" t="s">
        <v>10</v>
      </c>
      <c r="D2" s="2">
        <v>100</v>
      </c>
    </row>
    <row r="3" spans="1:4" ht="15" thickBot="1" x14ac:dyDescent="0.4">
      <c r="A3" s="6">
        <v>45993</v>
      </c>
      <c r="B3" s="5" t="s">
        <v>22</v>
      </c>
      <c r="C3" s="1" t="s">
        <v>30</v>
      </c>
      <c r="D3" s="2">
        <v>10</v>
      </c>
    </row>
    <row r="4" spans="1:4" ht="15" thickBot="1" x14ac:dyDescent="0.4">
      <c r="A4" s="6">
        <v>45994</v>
      </c>
      <c r="B4" s="5" t="s">
        <v>22</v>
      </c>
      <c r="C4" s="1" t="s">
        <v>4</v>
      </c>
      <c r="D4" s="2">
        <v>15</v>
      </c>
    </row>
    <row r="5" spans="1:4" ht="15" thickBot="1" x14ac:dyDescent="0.4">
      <c r="A5" s="7">
        <v>45994</v>
      </c>
      <c r="B5" s="32" t="s">
        <v>22</v>
      </c>
      <c r="C5" s="3" t="s">
        <v>6</v>
      </c>
      <c r="D5" s="4">
        <v>8</v>
      </c>
    </row>
    <row r="6" spans="1:4" ht="15" thickBot="1" x14ac:dyDescent="0.4">
      <c r="A6" s="6">
        <v>45995</v>
      </c>
      <c r="B6" s="5" t="s">
        <v>22</v>
      </c>
      <c r="C6" s="1" t="s">
        <v>10</v>
      </c>
      <c r="D6" s="2">
        <v>150</v>
      </c>
    </row>
    <row r="7" spans="1:4" ht="15" thickBot="1" x14ac:dyDescent="0.4">
      <c r="A7" s="6">
        <v>45996</v>
      </c>
      <c r="B7" s="5" t="s">
        <v>22</v>
      </c>
      <c r="C7" s="1" t="s">
        <v>9</v>
      </c>
      <c r="D7" s="2">
        <v>5</v>
      </c>
    </row>
    <row r="8" spans="1:4" ht="15" thickBot="1" x14ac:dyDescent="0.4">
      <c r="A8" s="6">
        <v>45997</v>
      </c>
      <c r="B8" s="5" t="s">
        <v>22</v>
      </c>
      <c r="C8" s="1" t="s">
        <v>7</v>
      </c>
      <c r="D8" s="2">
        <v>2</v>
      </c>
    </row>
    <row r="9" spans="1:4" ht="15" thickBot="1" x14ac:dyDescent="0.4">
      <c r="A9" s="6">
        <v>45997</v>
      </c>
      <c r="B9" s="5" t="s">
        <v>22</v>
      </c>
      <c r="C9" s="1" t="s">
        <v>10</v>
      </c>
      <c r="D9" s="2">
        <v>80</v>
      </c>
    </row>
    <row r="10" spans="1:4" ht="15" thickBot="1" x14ac:dyDescent="0.4">
      <c r="A10" s="6">
        <v>45998</v>
      </c>
      <c r="B10" s="5" t="s">
        <v>22</v>
      </c>
      <c r="C10" s="1" t="s">
        <v>4</v>
      </c>
      <c r="D10" s="2">
        <v>12</v>
      </c>
    </row>
    <row r="11" spans="1:4" ht="15" thickBot="1" x14ac:dyDescent="0.4">
      <c r="A11" s="6">
        <v>45999</v>
      </c>
      <c r="B11" s="5" t="s">
        <v>22</v>
      </c>
      <c r="C11" s="1" t="s">
        <v>30</v>
      </c>
      <c r="D11" s="2">
        <v>15</v>
      </c>
    </row>
    <row r="12" spans="1:4" ht="15" thickBot="1" x14ac:dyDescent="0.4">
      <c r="A12" s="6">
        <v>46000</v>
      </c>
      <c r="B12" s="5" t="s">
        <v>22</v>
      </c>
      <c r="C12" s="1" t="s">
        <v>10</v>
      </c>
      <c r="D12" s="2">
        <v>200</v>
      </c>
    </row>
    <row r="13" spans="1:4" ht="15" thickBot="1" x14ac:dyDescent="0.4">
      <c r="A13" s="6">
        <v>46000</v>
      </c>
      <c r="B13" s="5" t="s">
        <v>22</v>
      </c>
      <c r="C13" s="1" t="s">
        <v>6</v>
      </c>
      <c r="D13" s="2">
        <v>6</v>
      </c>
    </row>
    <row r="14" spans="1:4" ht="15" thickBot="1" x14ac:dyDescent="0.4">
      <c r="A14" s="6">
        <v>46001</v>
      </c>
      <c r="B14" s="5" t="s">
        <v>22</v>
      </c>
      <c r="C14" s="1" t="s">
        <v>9</v>
      </c>
      <c r="D14" s="2">
        <v>8</v>
      </c>
    </row>
    <row r="15" spans="1:4" ht="15" thickBot="1" x14ac:dyDescent="0.4">
      <c r="A15" s="6">
        <v>46002</v>
      </c>
      <c r="B15" s="5" t="s">
        <v>22</v>
      </c>
      <c r="C15" s="1" t="s">
        <v>10</v>
      </c>
      <c r="D15" s="2">
        <v>120</v>
      </c>
    </row>
    <row r="16" spans="1:4" ht="15" thickBot="1" x14ac:dyDescent="0.4">
      <c r="A16" s="6">
        <v>46003</v>
      </c>
      <c r="B16" s="5" t="s">
        <v>22</v>
      </c>
      <c r="C16" s="1" t="s">
        <v>4</v>
      </c>
      <c r="D16" s="2">
        <v>20</v>
      </c>
    </row>
    <row r="17" spans="1:4" ht="15" thickBot="1" x14ac:dyDescent="0.4">
      <c r="A17" s="6">
        <v>46003</v>
      </c>
      <c r="B17" s="5" t="s">
        <v>22</v>
      </c>
      <c r="C17" s="1" t="s">
        <v>28</v>
      </c>
      <c r="D17" s="2">
        <v>3</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C13E1C-8661-41BE-AC23-6559341FD408}">
  <dimension ref="A1:G57"/>
  <sheetViews>
    <sheetView tabSelected="1" topLeftCell="A40" workbookViewId="0">
      <selection activeCell="E49" activeCellId="1" sqref="B4 E49"/>
    </sheetView>
  </sheetViews>
  <sheetFormatPr defaultRowHeight="14.5" x14ac:dyDescent="0.35"/>
  <cols>
    <col min="1" max="1" width="13.1796875" customWidth="1"/>
    <col min="2" max="2" width="16.6328125" customWidth="1"/>
    <col min="3" max="3" width="13.1796875" customWidth="1"/>
    <col min="4" max="4" width="12.36328125" customWidth="1"/>
    <col min="5" max="5" width="12" bestFit="1" customWidth="1"/>
    <col min="6" max="6" width="11.08984375" customWidth="1"/>
  </cols>
  <sheetData>
    <row r="1" spans="1:7" x14ac:dyDescent="0.35">
      <c r="A1" s="34" t="s">
        <v>17</v>
      </c>
      <c r="B1" s="35" t="s">
        <v>18</v>
      </c>
      <c r="C1" s="35" t="s">
        <v>0</v>
      </c>
      <c r="D1" s="35" t="s">
        <v>19</v>
      </c>
      <c r="E1" s="35" t="s">
        <v>23</v>
      </c>
      <c r="F1" s="35" t="s">
        <v>2</v>
      </c>
      <c r="G1" s="35" t="s">
        <v>24</v>
      </c>
    </row>
    <row r="2" spans="1:7" x14ac:dyDescent="0.35">
      <c r="A2" s="36">
        <v>45992</v>
      </c>
      <c r="B2" s="30" t="s">
        <v>20</v>
      </c>
      <c r="C2" s="30" t="s">
        <v>4</v>
      </c>
      <c r="D2" s="30">
        <v>12</v>
      </c>
      <c r="E2" s="31" t="str">
        <f>VLOOKUP(Table2[[#This Row],[Product_ID]],Master!$A$2:$D$8,2,FALSE)</f>
        <v>Eco Mouse</v>
      </c>
      <c r="F2" s="31" t="str">
        <f>VLOOKUP(Table2[[#This Row],[Product_ID]],Master!$A$2:$D$8,3,FALSE)</f>
        <v>Electronics</v>
      </c>
      <c r="G2" s="31">
        <f>VLOOKUP(Table2[[#This Row],[Product_ID]],Master!$A$2:$D$8,4,FALSE)</f>
        <v>500</v>
      </c>
    </row>
    <row r="3" spans="1:7" x14ac:dyDescent="0.35">
      <c r="A3" s="36">
        <v>45992</v>
      </c>
      <c r="B3" s="30" t="s">
        <v>20</v>
      </c>
      <c r="C3" s="30" t="s">
        <v>6</v>
      </c>
      <c r="D3" s="30">
        <v>5</v>
      </c>
      <c r="E3" s="31" t="str">
        <f>VLOOKUP(Table2[[#This Row],[Product_ID]],Master!$A$2:$D$8,2,FALSE)</f>
        <v>Pro Keyboard</v>
      </c>
      <c r="F3" s="31" t="str">
        <f>VLOOKUP(Table2[[#This Row],[Product_ID]],Master!$A$2:$D$8,3,FALSE)</f>
        <v>Electronics</v>
      </c>
      <c r="G3" s="31">
        <f>VLOOKUP(Table2[[#This Row],[Product_ID]],Master!$A$2:$D$8,4,FALSE)</f>
        <v>1200</v>
      </c>
    </row>
    <row r="4" spans="1:7" x14ac:dyDescent="0.35">
      <c r="A4" s="36">
        <v>45992</v>
      </c>
      <c r="B4" s="30" t="s">
        <v>20</v>
      </c>
      <c r="C4" s="30" t="s">
        <v>28</v>
      </c>
      <c r="D4" s="30">
        <v>2</v>
      </c>
      <c r="E4" s="31" t="str">
        <f>VLOOKUP(Table2[[#This Row],[Product_ID]],Master!$A$2:$D$8,2,FALSE)</f>
        <v>Monitor 24in</v>
      </c>
      <c r="F4" s="31" t="str">
        <f>VLOOKUP(Table2[[#This Row],[Product_ID]],Master!$A$2:$D$8,3,FALSE)</f>
        <v>Electronics</v>
      </c>
      <c r="G4" s="31">
        <f>VLOOKUP(Table2[[#This Row],[Product_ID]],Master!$A$2:$D$8,4,FALSE)</f>
        <v>12000</v>
      </c>
    </row>
    <row r="5" spans="1:7" x14ac:dyDescent="0.35">
      <c r="A5" s="36">
        <v>45993</v>
      </c>
      <c r="B5" s="30" t="s">
        <v>20</v>
      </c>
      <c r="C5" s="30" t="s">
        <v>10</v>
      </c>
      <c r="D5" s="30">
        <v>50</v>
      </c>
      <c r="E5" s="31" t="str">
        <f>VLOOKUP(Table2[[#This Row],[Product_ID]],Master!$A$2:$D$8,2,FALSE)</f>
        <v>Notebook Set</v>
      </c>
      <c r="F5" s="31" t="str">
        <f>VLOOKUP(Table2[[#This Row],[Product_ID]],Master!$A$2:$D$8,3,FALSE)</f>
        <v>Stationery</v>
      </c>
      <c r="G5" s="31">
        <f>VLOOKUP(Table2[[#This Row],[Product_ID]],Master!$A$2:$D$8,4,FALSE)</f>
        <v>150</v>
      </c>
    </row>
    <row r="6" spans="1:7" x14ac:dyDescent="0.35">
      <c r="A6" s="36">
        <v>45993</v>
      </c>
      <c r="B6" s="30" t="s">
        <v>20</v>
      </c>
      <c r="C6" s="30" t="s">
        <v>4</v>
      </c>
      <c r="D6" s="30">
        <v>8</v>
      </c>
      <c r="E6" s="31" t="str">
        <f>VLOOKUP(Table2[[#This Row],[Product_ID]],Master!$A$2:$D$8,2,FALSE)</f>
        <v>Eco Mouse</v>
      </c>
      <c r="F6" s="31" t="str">
        <f>VLOOKUP(Table2[[#This Row],[Product_ID]],Master!$A$2:$D$8,3,FALSE)</f>
        <v>Electronics</v>
      </c>
      <c r="G6" s="31">
        <f>VLOOKUP(Table2[[#This Row],[Product_ID]],Master!$A$2:$D$8,4,FALSE)</f>
        <v>500</v>
      </c>
    </row>
    <row r="7" spans="1:7" x14ac:dyDescent="0.35">
      <c r="A7" s="36">
        <v>45994</v>
      </c>
      <c r="B7" s="30" t="s">
        <v>20</v>
      </c>
      <c r="C7" s="30" t="s">
        <v>7</v>
      </c>
      <c r="D7" s="30">
        <v>1</v>
      </c>
      <c r="E7" s="31" t="str">
        <f>VLOOKUP(Table2[[#This Row],[Product_ID]],Master!$A$2:$D$8,2,FALSE)</f>
        <v>Ergo Chair</v>
      </c>
      <c r="F7" s="31" t="str">
        <f>VLOOKUP(Table2[[#This Row],[Product_ID]],Master!$A$2:$D$8,3,FALSE)</f>
        <v>Furniture</v>
      </c>
      <c r="G7" s="31">
        <f>VLOOKUP(Table2[[#This Row],[Product_ID]],Master!$A$2:$D$8,4,FALSE)</f>
        <v>5500</v>
      </c>
    </row>
    <row r="8" spans="1:7" x14ac:dyDescent="0.35">
      <c r="A8" s="36">
        <v>45994</v>
      </c>
      <c r="B8" s="30" t="s">
        <v>20</v>
      </c>
      <c r="C8" s="30" t="s">
        <v>9</v>
      </c>
      <c r="D8" s="30">
        <v>10</v>
      </c>
      <c r="E8" s="31" t="str">
        <f>VLOOKUP(Table2[[#This Row],[Product_ID]],Master!$A$2:$D$8,2,FALSE)</f>
        <v>LED Lamp</v>
      </c>
      <c r="F8" s="31" t="str">
        <f>VLOOKUP(Table2[[#This Row],[Product_ID]],Master!$A$2:$D$8,3,FALSE)</f>
        <v>Furniture</v>
      </c>
      <c r="G8" s="31">
        <f>VLOOKUP(Table2[[#This Row],[Product_ID]],Master!$A$2:$D$8,4,FALSE)</f>
        <v>900</v>
      </c>
    </row>
    <row r="9" spans="1:7" x14ac:dyDescent="0.35">
      <c r="A9" s="36">
        <v>45995</v>
      </c>
      <c r="B9" s="30" t="s">
        <v>20</v>
      </c>
      <c r="C9" s="30" t="s">
        <v>6</v>
      </c>
      <c r="D9" s="30">
        <v>6</v>
      </c>
      <c r="E9" s="31" t="str">
        <f>VLOOKUP(Table2[[#This Row],[Product_ID]],Master!$A$2:$D$8,2,FALSE)</f>
        <v>Pro Keyboard</v>
      </c>
      <c r="F9" s="31" t="str">
        <f>VLOOKUP(Table2[[#This Row],[Product_ID]],Master!$A$2:$D$8,3,FALSE)</f>
        <v>Electronics</v>
      </c>
      <c r="G9" s="31">
        <f>VLOOKUP(Table2[[#This Row],[Product_ID]],Master!$A$2:$D$8,4,FALSE)</f>
        <v>1200</v>
      </c>
    </row>
    <row r="10" spans="1:7" x14ac:dyDescent="0.35">
      <c r="A10" s="36">
        <v>45995</v>
      </c>
      <c r="B10" s="30" t="s">
        <v>20</v>
      </c>
      <c r="C10" s="30" t="s">
        <v>28</v>
      </c>
      <c r="D10" s="30">
        <v>3</v>
      </c>
      <c r="E10" s="31" t="str">
        <f>VLOOKUP(Table2[[#This Row],[Product_ID]],Master!$A$2:$D$8,2,FALSE)</f>
        <v>Monitor 24in</v>
      </c>
      <c r="F10" s="31" t="str">
        <f>VLOOKUP(Table2[[#This Row],[Product_ID]],Master!$A$2:$D$8,3,FALSE)</f>
        <v>Electronics</v>
      </c>
      <c r="G10" s="31">
        <f>VLOOKUP(Table2[[#This Row],[Product_ID]],Master!$A$2:$D$8,4,FALSE)</f>
        <v>12000</v>
      </c>
    </row>
    <row r="11" spans="1:7" x14ac:dyDescent="0.35">
      <c r="A11" s="36">
        <v>45996</v>
      </c>
      <c r="B11" s="30" t="s">
        <v>20</v>
      </c>
      <c r="C11" s="30" t="s">
        <v>4</v>
      </c>
      <c r="D11" s="30">
        <v>15</v>
      </c>
      <c r="E11" s="31" t="str">
        <f>VLOOKUP(Table2[[#This Row],[Product_ID]],Master!$A$2:$D$8,2,FALSE)</f>
        <v>Eco Mouse</v>
      </c>
      <c r="F11" s="31" t="str">
        <f>VLOOKUP(Table2[[#This Row],[Product_ID]],Master!$A$2:$D$8,3,FALSE)</f>
        <v>Electronics</v>
      </c>
      <c r="G11" s="31">
        <f>VLOOKUP(Table2[[#This Row],[Product_ID]],Master!$A$2:$D$8,4,FALSE)</f>
        <v>500</v>
      </c>
    </row>
    <row r="12" spans="1:7" x14ac:dyDescent="0.35">
      <c r="A12" s="36">
        <v>45996</v>
      </c>
      <c r="B12" s="30" t="s">
        <v>20</v>
      </c>
      <c r="C12" s="30" t="s">
        <v>30</v>
      </c>
      <c r="D12" s="30">
        <v>4</v>
      </c>
      <c r="E12" s="31" t="str">
        <f>VLOOKUP(Table2[[#This Row],[Product_ID]],Master!$A$2:$D$8,2,FALSE)</f>
        <v>Whiteboard</v>
      </c>
      <c r="F12" s="31" t="str">
        <f>VLOOKUP(Table2[[#This Row],[Product_ID]],Master!$A$2:$D$8,3,FALSE)</f>
        <v>Stationery</v>
      </c>
      <c r="G12" s="31">
        <f>VLOOKUP(Table2[[#This Row],[Product_ID]],Master!$A$2:$D$8,4,FALSE)</f>
        <v>2500</v>
      </c>
    </row>
    <row r="13" spans="1:7" x14ac:dyDescent="0.35">
      <c r="A13" s="36">
        <v>45997</v>
      </c>
      <c r="B13" s="30" t="s">
        <v>20</v>
      </c>
      <c r="C13" s="30" t="s">
        <v>7</v>
      </c>
      <c r="D13" s="30">
        <v>2</v>
      </c>
      <c r="E13" s="31" t="str">
        <f>VLOOKUP(Table2[[#This Row],[Product_ID]],Master!$A$2:$D$8,2,FALSE)</f>
        <v>Ergo Chair</v>
      </c>
      <c r="F13" s="31" t="str">
        <f>VLOOKUP(Table2[[#This Row],[Product_ID]],Master!$A$2:$D$8,3,FALSE)</f>
        <v>Furniture</v>
      </c>
      <c r="G13" s="31">
        <f>VLOOKUP(Table2[[#This Row],[Product_ID]],Master!$A$2:$D$8,4,FALSE)</f>
        <v>5500</v>
      </c>
    </row>
    <row r="14" spans="1:7" x14ac:dyDescent="0.35">
      <c r="A14" s="36">
        <v>45997</v>
      </c>
      <c r="B14" s="30" t="s">
        <v>20</v>
      </c>
      <c r="C14" s="30" t="s">
        <v>10</v>
      </c>
      <c r="D14" s="30">
        <v>30</v>
      </c>
      <c r="E14" s="31" t="str">
        <f>VLOOKUP(Table2[[#This Row],[Product_ID]],Master!$A$2:$D$8,2,FALSE)</f>
        <v>Notebook Set</v>
      </c>
      <c r="F14" s="31" t="str">
        <f>VLOOKUP(Table2[[#This Row],[Product_ID]],Master!$A$2:$D$8,3,FALSE)</f>
        <v>Stationery</v>
      </c>
      <c r="G14" s="31">
        <f>VLOOKUP(Table2[[#This Row],[Product_ID]],Master!$A$2:$D$8,4,FALSE)</f>
        <v>150</v>
      </c>
    </row>
    <row r="15" spans="1:7" x14ac:dyDescent="0.35">
      <c r="A15" s="36">
        <v>45998</v>
      </c>
      <c r="B15" s="30" t="s">
        <v>20</v>
      </c>
      <c r="C15" s="30" t="s">
        <v>6</v>
      </c>
      <c r="D15" s="30">
        <v>8</v>
      </c>
      <c r="E15" s="31" t="str">
        <f>VLOOKUP(Table2[[#This Row],[Product_ID]],Master!$A$2:$D$8,2,FALSE)</f>
        <v>Pro Keyboard</v>
      </c>
      <c r="F15" s="31" t="str">
        <f>VLOOKUP(Table2[[#This Row],[Product_ID]],Master!$A$2:$D$8,3,FALSE)</f>
        <v>Electronics</v>
      </c>
      <c r="G15" s="31">
        <f>VLOOKUP(Table2[[#This Row],[Product_ID]],Master!$A$2:$D$8,4,FALSE)</f>
        <v>1200</v>
      </c>
    </row>
    <row r="16" spans="1:7" x14ac:dyDescent="0.35">
      <c r="A16" s="36">
        <v>45999</v>
      </c>
      <c r="B16" s="30" t="s">
        <v>20</v>
      </c>
      <c r="C16" s="30" t="s">
        <v>28</v>
      </c>
      <c r="D16" s="30">
        <v>5</v>
      </c>
      <c r="E16" s="31" t="str">
        <f>VLOOKUP(Table2[[#This Row],[Product_ID]],Master!$A$2:$D$8,2,FALSE)</f>
        <v>Monitor 24in</v>
      </c>
      <c r="F16" s="31" t="str">
        <f>VLOOKUP(Table2[[#This Row],[Product_ID]],Master!$A$2:$D$8,3,FALSE)</f>
        <v>Electronics</v>
      </c>
      <c r="G16" s="31">
        <f>VLOOKUP(Table2[[#This Row],[Product_ID]],Master!$A$2:$D$8,4,FALSE)</f>
        <v>12000</v>
      </c>
    </row>
    <row r="17" spans="1:7" x14ac:dyDescent="0.35">
      <c r="A17" s="36">
        <v>45999</v>
      </c>
      <c r="B17" s="30" t="s">
        <v>20</v>
      </c>
      <c r="C17" s="30" t="s">
        <v>4</v>
      </c>
      <c r="D17" s="30">
        <v>20</v>
      </c>
      <c r="E17" s="33" t="str">
        <f>VLOOKUP(Table2[[#This Row],[Product_ID]],Master!$A$2:$D$8,2,FALSE)</f>
        <v>Eco Mouse</v>
      </c>
      <c r="F17" s="33" t="str">
        <f>VLOOKUP(Table2[[#This Row],[Product_ID]],Master!$A$2:$D$8,3,FALSE)</f>
        <v>Electronics</v>
      </c>
      <c r="G17" s="33">
        <f>VLOOKUP(Table2[[#This Row],[Product_ID]],Master!$A$2:$D$8,4,FALSE)</f>
        <v>500</v>
      </c>
    </row>
    <row r="18" spans="1:7" x14ac:dyDescent="0.35">
      <c r="A18" s="36">
        <v>46000</v>
      </c>
      <c r="B18" s="30" t="s">
        <v>20</v>
      </c>
      <c r="C18" s="30" t="s">
        <v>9</v>
      </c>
      <c r="D18" s="30">
        <v>12</v>
      </c>
      <c r="E18" s="33" t="str">
        <f>VLOOKUP(Table2[[#This Row],[Product_ID]],Master!$A$2:$D$8,2,FALSE)</f>
        <v>LED Lamp</v>
      </c>
      <c r="F18" s="33" t="str">
        <f>VLOOKUP(Table2[[#This Row],[Product_ID]],Master!$A$2:$D$8,3,FALSE)</f>
        <v>Furniture</v>
      </c>
      <c r="G18" s="33">
        <f>VLOOKUP(Table2[[#This Row],[Product_ID]],Master!$A$2:$D$8,4,FALSE)</f>
        <v>900</v>
      </c>
    </row>
    <row r="19" spans="1:7" x14ac:dyDescent="0.35">
      <c r="A19" s="36">
        <v>46001</v>
      </c>
      <c r="B19" s="30" t="s">
        <v>20</v>
      </c>
      <c r="C19" s="30" t="s">
        <v>7</v>
      </c>
      <c r="D19" s="30">
        <v>3</v>
      </c>
      <c r="E19" s="33" t="str">
        <f>VLOOKUP(Table2[[#This Row],[Product_ID]],Master!$A$2:$D$8,2,FALSE)</f>
        <v>Ergo Chair</v>
      </c>
      <c r="F19" s="33" t="str">
        <f>VLOOKUP(Table2[[#This Row],[Product_ID]],Master!$A$2:$D$8,3,FALSE)</f>
        <v>Furniture</v>
      </c>
      <c r="G19" s="33">
        <f>VLOOKUP(Table2[[#This Row],[Product_ID]],Master!$A$2:$D$8,4,FALSE)</f>
        <v>5500</v>
      </c>
    </row>
    <row r="20" spans="1:7" x14ac:dyDescent="0.35">
      <c r="A20" s="36">
        <v>46001</v>
      </c>
      <c r="B20" s="30" t="s">
        <v>20</v>
      </c>
      <c r="C20" s="30" t="s">
        <v>6</v>
      </c>
      <c r="D20" s="30">
        <v>10</v>
      </c>
      <c r="E20" s="33" t="str">
        <f>VLOOKUP(Table2[[#This Row],[Product_ID]],Master!$A$2:$D$8,2,FALSE)</f>
        <v>Pro Keyboard</v>
      </c>
      <c r="F20" s="33" t="str">
        <f>VLOOKUP(Table2[[#This Row],[Product_ID]],Master!$A$2:$D$8,3,FALSE)</f>
        <v>Electronics</v>
      </c>
      <c r="G20" s="33">
        <f>VLOOKUP(Table2[[#This Row],[Product_ID]],Master!$A$2:$D$8,4,FALSE)</f>
        <v>1200</v>
      </c>
    </row>
    <row r="21" spans="1:7" x14ac:dyDescent="0.35">
      <c r="A21" s="36">
        <v>46002</v>
      </c>
      <c r="B21" s="30" t="s">
        <v>20</v>
      </c>
      <c r="C21" s="30" t="s">
        <v>10</v>
      </c>
      <c r="D21" s="30">
        <v>40</v>
      </c>
      <c r="E21" s="33" t="str">
        <f>VLOOKUP(Table2[[#This Row],[Product_ID]],Master!$A$2:$D$8,2,FALSE)</f>
        <v>Notebook Set</v>
      </c>
      <c r="F21" s="33" t="str">
        <f>VLOOKUP(Table2[[#This Row],[Product_ID]],Master!$A$2:$D$8,3,FALSE)</f>
        <v>Stationery</v>
      </c>
      <c r="G21" s="33">
        <f>VLOOKUP(Table2[[#This Row],[Product_ID]],Master!$A$2:$D$8,4,FALSE)</f>
        <v>150</v>
      </c>
    </row>
    <row r="22" spans="1:7" x14ac:dyDescent="0.35">
      <c r="A22" s="36">
        <v>46003</v>
      </c>
      <c r="B22" s="30" t="s">
        <v>20</v>
      </c>
      <c r="C22" s="30" t="s">
        <v>28</v>
      </c>
      <c r="D22" s="30">
        <v>4</v>
      </c>
      <c r="E22" s="33" t="str">
        <f>VLOOKUP(Table2[[#This Row],[Product_ID]],Master!$A$2:$D$8,2,FALSE)</f>
        <v>Monitor 24in</v>
      </c>
      <c r="F22" s="33" t="str">
        <f>VLOOKUP(Table2[[#This Row],[Product_ID]],Master!$A$2:$D$8,3,FALSE)</f>
        <v>Electronics</v>
      </c>
      <c r="G22" s="33">
        <f>VLOOKUP(Table2[[#This Row],[Product_ID]],Master!$A$2:$D$8,4,FALSE)</f>
        <v>12000</v>
      </c>
    </row>
    <row r="23" spans="1:7" x14ac:dyDescent="0.35">
      <c r="A23" s="36">
        <v>46003</v>
      </c>
      <c r="B23" s="30" t="s">
        <v>20</v>
      </c>
      <c r="C23" s="30" t="s">
        <v>4</v>
      </c>
      <c r="D23" s="30">
        <v>25</v>
      </c>
      <c r="E23" s="33" t="str">
        <f>VLOOKUP(Table2[[#This Row],[Product_ID]],Master!$A$2:$D$8,2,FALSE)</f>
        <v>Eco Mouse</v>
      </c>
      <c r="F23" s="33" t="str">
        <f>VLOOKUP(Table2[[#This Row],[Product_ID]],Master!$A$2:$D$8,3,FALSE)</f>
        <v>Electronics</v>
      </c>
      <c r="G23" s="33">
        <f>VLOOKUP(Table2[[#This Row],[Product_ID]],Master!$A$2:$D$8,4,FALSE)</f>
        <v>500</v>
      </c>
    </row>
    <row r="24" spans="1:7" x14ac:dyDescent="0.35">
      <c r="A24" s="36">
        <v>45992</v>
      </c>
      <c r="B24" s="30" t="s">
        <v>21</v>
      </c>
      <c r="C24" s="30" t="s">
        <v>7</v>
      </c>
      <c r="D24" s="30">
        <v>5</v>
      </c>
      <c r="E24" s="33" t="str">
        <f>VLOOKUP(Table2[[#This Row],[Product_ID]],Master!$A$2:$D$8,2,FALSE)</f>
        <v>Ergo Chair</v>
      </c>
      <c r="F24" s="33" t="str">
        <f>VLOOKUP(Table2[[#This Row],[Product_ID]],Master!$A$2:$D$8,3,FALSE)</f>
        <v>Furniture</v>
      </c>
      <c r="G24" s="33">
        <f>VLOOKUP(Table2[[#This Row],[Product_ID]],Master!$A$2:$D$8,4,FALSE)</f>
        <v>5500</v>
      </c>
    </row>
    <row r="25" spans="1:7" x14ac:dyDescent="0.35">
      <c r="A25" s="36">
        <v>45992</v>
      </c>
      <c r="B25" s="30" t="s">
        <v>21</v>
      </c>
      <c r="C25" s="30" t="s">
        <v>9</v>
      </c>
      <c r="D25" s="30">
        <v>15</v>
      </c>
      <c r="E25" s="33" t="str">
        <f>VLOOKUP(Table2[[#This Row],[Product_ID]],Master!$A$2:$D$8,2,FALSE)</f>
        <v>LED Lamp</v>
      </c>
      <c r="F25" s="33" t="str">
        <f>VLOOKUP(Table2[[#This Row],[Product_ID]],Master!$A$2:$D$8,3,FALSE)</f>
        <v>Furniture</v>
      </c>
      <c r="G25" s="33">
        <f>VLOOKUP(Table2[[#This Row],[Product_ID]],Master!$A$2:$D$8,4,FALSE)</f>
        <v>900</v>
      </c>
    </row>
    <row r="26" spans="1:7" x14ac:dyDescent="0.35">
      <c r="A26" s="36">
        <v>45993</v>
      </c>
      <c r="B26" s="30" t="s">
        <v>21</v>
      </c>
      <c r="C26" s="30" t="s">
        <v>7</v>
      </c>
      <c r="D26" s="30">
        <v>4</v>
      </c>
      <c r="E26" s="33" t="str">
        <f>VLOOKUP(Table2[[#This Row],[Product_ID]],Master!$A$2:$D$8,2,FALSE)</f>
        <v>Ergo Chair</v>
      </c>
      <c r="F26" s="33" t="str">
        <f>VLOOKUP(Table2[[#This Row],[Product_ID]],Master!$A$2:$D$8,3,FALSE)</f>
        <v>Furniture</v>
      </c>
      <c r="G26" s="33">
        <f>VLOOKUP(Table2[[#This Row],[Product_ID]],Master!$A$2:$D$8,4,FALSE)</f>
        <v>5500</v>
      </c>
    </row>
    <row r="27" spans="1:7" x14ac:dyDescent="0.35">
      <c r="A27" s="36">
        <v>45994</v>
      </c>
      <c r="B27" s="30" t="s">
        <v>21</v>
      </c>
      <c r="C27" s="30" t="s">
        <v>4</v>
      </c>
      <c r="D27" s="30">
        <v>10</v>
      </c>
      <c r="E27" s="33" t="str">
        <f>VLOOKUP(Table2[[#This Row],[Product_ID]],Master!$A$2:$D$8,2,FALSE)</f>
        <v>Eco Mouse</v>
      </c>
      <c r="F27" s="33" t="str">
        <f>VLOOKUP(Table2[[#This Row],[Product_ID]],Master!$A$2:$D$8,3,FALSE)</f>
        <v>Electronics</v>
      </c>
      <c r="G27" s="33">
        <f>VLOOKUP(Table2[[#This Row],[Product_ID]],Master!$A$2:$D$8,4,FALSE)</f>
        <v>500</v>
      </c>
    </row>
    <row r="28" spans="1:7" x14ac:dyDescent="0.35">
      <c r="A28" s="36">
        <v>45994</v>
      </c>
      <c r="B28" s="30" t="s">
        <v>21</v>
      </c>
      <c r="C28" s="30" t="s">
        <v>30</v>
      </c>
      <c r="D28" s="30">
        <v>8</v>
      </c>
      <c r="E28" s="33" t="str">
        <f>VLOOKUP(Table2[[#This Row],[Product_ID]],Master!$A$2:$D$8,2,FALSE)</f>
        <v>Whiteboard</v>
      </c>
      <c r="F28" s="33" t="str">
        <f>VLOOKUP(Table2[[#This Row],[Product_ID]],Master!$A$2:$D$8,3,FALSE)</f>
        <v>Stationery</v>
      </c>
      <c r="G28" s="33">
        <f>VLOOKUP(Table2[[#This Row],[Product_ID]],Master!$A$2:$D$8,4,FALSE)</f>
        <v>2500</v>
      </c>
    </row>
    <row r="29" spans="1:7" x14ac:dyDescent="0.35">
      <c r="A29" s="36">
        <v>45995</v>
      </c>
      <c r="B29" s="30" t="s">
        <v>21</v>
      </c>
      <c r="C29" s="30" t="s">
        <v>7</v>
      </c>
      <c r="D29" s="30">
        <v>6</v>
      </c>
      <c r="E29" s="33" t="str">
        <f>VLOOKUP(Table2[[#This Row],[Product_ID]],Master!$A$2:$D$8,2,FALSE)</f>
        <v>Ergo Chair</v>
      </c>
      <c r="F29" s="33" t="str">
        <f>VLOOKUP(Table2[[#This Row],[Product_ID]],Master!$A$2:$D$8,3,FALSE)</f>
        <v>Furniture</v>
      </c>
      <c r="G29" s="33">
        <f>VLOOKUP(Table2[[#This Row],[Product_ID]],Master!$A$2:$D$8,4,FALSE)</f>
        <v>5500</v>
      </c>
    </row>
    <row r="30" spans="1:7" x14ac:dyDescent="0.35">
      <c r="A30" s="36">
        <v>45996</v>
      </c>
      <c r="B30" s="30" t="s">
        <v>21</v>
      </c>
      <c r="C30" s="30" t="s">
        <v>9</v>
      </c>
      <c r="D30" s="30">
        <v>20</v>
      </c>
      <c r="E30" s="33" t="str">
        <f>VLOOKUP(Table2[[#This Row],[Product_ID]],Master!$A$2:$D$8,2,FALSE)</f>
        <v>LED Lamp</v>
      </c>
      <c r="F30" s="33" t="str">
        <f>VLOOKUP(Table2[[#This Row],[Product_ID]],Master!$A$2:$D$8,3,FALSE)</f>
        <v>Furniture</v>
      </c>
      <c r="G30" s="33">
        <f>VLOOKUP(Table2[[#This Row],[Product_ID]],Master!$A$2:$D$8,4,FALSE)</f>
        <v>900</v>
      </c>
    </row>
    <row r="31" spans="1:7" x14ac:dyDescent="0.35">
      <c r="A31" s="36">
        <v>45996</v>
      </c>
      <c r="B31" s="30" t="s">
        <v>21</v>
      </c>
      <c r="C31" s="30" t="s">
        <v>6</v>
      </c>
      <c r="D31" s="30">
        <v>5</v>
      </c>
      <c r="E31" s="33" t="str">
        <f>VLOOKUP(Table2[[#This Row],[Product_ID]],Master!$A$2:$D$8,2,FALSE)</f>
        <v>Pro Keyboard</v>
      </c>
      <c r="F31" s="33" t="str">
        <f>VLOOKUP(Table2[[#This Row],[Product_ID]],Master!$A$2:$D$8,3,FALSE)</f>
        <v>Electronics</v>
      </c>
      <c r="G31" s="33">
        <f>VLOOKUP(Table2[[#This Row],[Product_ID]],Master!$A$2:$D$8,4,FALSE)</f>
        <v>1200</v>
      </c>
    </row>
    <row r="32" spans="1:7" x14ac:dyDescent="0.35">
      <c r="A32" s="36">
        <v>45997</v>
      </c>
      <c r="B32" s="30" t="s">
        <v>21</v>
      </c>
      <c r="C32" s="30" t="s">
        <v>7</v>
      </c>
      <c r="D32" s="30">
        <v>8</v>
      </c>
      <c r="E32" s="33" t="str">
        <f>VLOOKUP(Table2[[#This Row],[Product_ID]],Master!$A$2:$D$8,2,FALSE)</f>
        <v>Ergo Chair</v>
      </c>
      <c r="F32" s="33" t="str">
        <f>VLOOKUP(Table2[[#This Row],[Product_ID]],Master!$A$2:$D$8,3,FALSE)</f>
        <v>Furniture</v>
      </c>
      <c r="G32" s="33">
        <f>VLOOKUP(Table2[[#This Row],[Product_ID]],Master!$A$2:$D$8,4,FALSE)</f>
        <v>5500</v>
      </c>
    </row>
    <row r="33" spans="1:7" x14ac:dyDescent="0.35">
      <c r="A33" s="36">
        <v>45998</v>
      </c>
      <c r="B33" s="30" t="s">
        <v>21</v>
      </c>
      <c r="C33" s="30" t="s">
        <v>28</v>
      </c>
      <c r="D33" s="30">
        <v>1</v>
      </c>
      <c r="E33" s="33" t="str">
        <f>VLOOKUP(Table2[[#This Row],[Product_ID]],Master!$A$2:$D$8,2,FALSE)</f>
        <v>Monitor 24in</v>
      </c>
      <c r="F33" s="33" t="str">
        <f>VLOOKUP(Table2[[#This Row],[Product_ID]],Master!$A$2:$D$8,3,FALSE)</f>
        <v>Electronics</v>
      </c>
      <c r="G33" s="33">
        <f>VLOOKUP(Table2[[#This Row],[Product_ID]],Master!$A$2:$D$8,4,FALSE)</f>
        <v>12000</v>
      </c>
    </row>
    <row r="34" spans="1:7" x14ac:dyDescent="0.35">
      <c r="A34" s="36">
        <v>45999</v>
      </c>
      <c r="B34" s="30" t="s">
        <v>21</v>
      </c>
      <c r="C34" s="30" t="s">
        <v>7</v>
      </c>
      <c r="D34" s="30">
        <v>5</v>
      </c>
      <c r="E34" s="33" t="str">
        <f>VLOOKUP(Table2[[#This Row],[Product_ID]],Master!$A$2:$D$8,2,FALSE)</f>
        <v>Ergo Chair</v>
      </c>
      <c r="F34" s="33" t="str">
        <f>VLOOKUP(Table2[[#This Row],[Product_ID]],Master!$A$2:$D$8,3,FALSE)</f>
        <v>Furniture</v>
      </c>
      <c r="G34" s="33">
        <f>VLOOKUP(Table2[[#This Row],[Product_ID]],Master!$A$2:$D$8,4,FALSE)</f>
        <v>5500</v>
      </c>
    </row>
    <row r="35" spans="1:7" x14ac:dyDescent="0.35">
      <c r="A35" s="36">
        <v>45999</v>
      </c>
      <c r="B35" s="30" t="s">
        <v>21</v>
      </c>
      <c r="C35" s="30" t="s">
        <v>9</v>
      </c>
      <c r="D35" s="30">
        <v>25</v>
      </c>
      <c r="E35" s="33" t="str">
        <f>VLOOKUP(Table2[[#This Row],[Product_ID]],Master!$A$2:$D$8,2,FALSE)</f>
        <v>LED Lamp</v>
      </c>
      <c r="F35" s="33" t="str">
        <f>VLOOKUP(Table2[[#This Row],[Product_ID]],Master!$A$2:$D$8,3,FALSE)</f>
        <v>Furniture</v>
      </c>
      <c r="G35" s="33">
        <f>VLOOKUP(Table2[[#This Row],[Product_ID]],Master!$A$2:$D$8,4,FALSE)</f>
        <v>900</v>
      </c>
    </row>
    <row r="36" spans="1:7" x14ac:dyDescent="0.35">
      <c r="A36" s="36">
        <v>46000</v>
      </c>
      <c r="B36" s="30" t="s">
        <v>21</v>
      </c>
      <c r="C36" s="30" t="s">
        <v>10</v>
      </c>
      <c r="D36" s="30">
        <v>20</v>
      </c>
      <c r="E36" s="33" t="str">
        <f>VLOOKUP(Table2[[#This Row],[Product_ID]],Master!$A$2:$D$8,2,FALSE)</f>
        <v>Notebook Set</v>
      </c>
      <c r="F36" s="33" t="str">
        <f>VLOOKUP(Table2[[#This Row],[Product_ID]],Master!$A$2:$D$8,3,FALSE)</f>
        <v>Stationery</v>
      </c>
      <c r="G36" s="33">
        <f>VLOOKUP(Table2[[#This Row],[Product_ID]],Master!$A$2:$D$8,4,FALSE)</f>
        <v>150</v>
      </c>
    </row>
    <row r="37" spans="1:7" x14ac:dyDescent="0.35">
      <c r="A37" s="36">
        <v>46001</v>
      </c>
      <c r="B37" s="30" t="s">
        <v>21</v>
      </c>
      <c r="C37" s="30" t="s">
        <v>7</v>
      </c>
      <c r="D37" s="30">
        <v>7</v>
      </c>
      <c r="E37" s="33" t="str">
        <f>VLOOKUP(Table2[[#This Row],[Product_ID]],Master!$A$2:$D$8,2,FALSE)</f>
        <v>Ergo Chair</v>
      </c>
      <c r="F37" s="33" t="str">
        <f>VLOOKUP(Table2[[#This Row],[Product_ID]],Master!$A$2:$D$8,3,FALSE)</f>
        <v>Furniture</v>
      </c>
      <c r="G37" s="33">
        <f>VLOOKUP(Table2[[#This Row],[Product_ID]],Master!$A$2:$D$8,4,FALSE)</f>
        <v>5500</v>
      </c>
    </row>
    <row r="38" spans="1:7" x14ac:dyDescent="0.35">
      <c r="A38" s="36">
        <v>46002</v>
      </c>
      <c r="B38" s="30" t="s">
        <v>21</v>
      </c>
      <c r="C38" s="30" t="s">
        <v>6</v>
      </c>
      <c r="D38" s="30">
        <v>4</v>
      </c>
      <c r="E38" s="33" t="str">
        <f>VLOOKUP(Table2[[#This Row],[Product_ID]],Master!$A$2:$D$8,2,FALSE)</f>
        <v>Pro Keyboard</v>
      </c>
      <c r="F38" s="33" t="str">
        <f>VLOOKUP(Table2[[#This Row],[Product_ID]],Master!$A$2:$D$8,3,FALSE)</f>
        <v>Electronics</v>
      </c>
      <c r="G38" s="33">
        <f>VLOOKUP(Table2[[#This Row],[Product_ID]],Master!$A$2:$D$8,4,FALSE)</f>
        <v>1200</v>
      </c>
    </row>
    <row r="39" spans="1:7" x14ac:dyDescent="0.35">
      <c r="A39" s="36">
        <v>46002</v>
      </c>
      <c r="B39" s="30" t="s">
        <v>21</v>
      </c>
      <c r="C39" s="30" t="s">
        <v>9</v>
      </c>
      <c r="D39" s="30">
        <v>18</v>
      </c>
      <c r="E39" s="33" t="str">
        <f>VLOOKUP(Table2[[#This Row],[Product_ID]],Master!$A$2:$D$8,2,FALSE)</f>
        <v>LED Lamp</v>
      </c>
      <c r="F39" s="33" t="str">
        <f>VLOOKUP(Table2[[#This Row],[Product_ID]],Master!$A$2:$D$8,3,FALSE)</f>
        <v>Furniture</v>
      </c>
      <c r="G39" s="33">
        <f>VLOOKUP(Table2[[#This Row],[Product_ID]],Master!$A$2:$D$8,4,FALSE)</f>
        <v>900</v>
      </c>
    </row>
    <row r="40" spans="1:7" x14ac:dyDescent="0.35">
      <c r="A40" s="36">
        <v>46003</v>
      </c>
      <c r="B40" s="30" t="s">
        <v>21</v>
      </c>
      <c r="C40" s="30" t="s">
        <v>7</v>
      </c>
      <c r="D40" s="30">
        <v>10</v>
      </c>
      <c r="E40" s="33" t="str">
        <f>VLOOKUP(Table2[[#This Row],[Product_ID]],Master!$A$2:$D$8,2,FALSE)</f>
        <v>Ergo Chair</v>
      </c>
      <c r="F40" s="33" t="str">
        <f>VLOOKUP(Table2[[#This Row],[Product_ID]],Master!$A$2:$D$8,3,FALSE)</f>
        <v>Furniture</v>
      </c>
      <c r="G40" s="33">
        <f>VLOOKUP(Table2[[#This Row],[Product_ID]],Master!$A$2:$D$8,4,FALSE)</f>
        <v>5500</v>
      </c>
    </row>
    <row r="41" spans="1:7" x14ac:dyDescent="0.35">
      <c r="A41" s="36">
        <v>46003</v>
      </c>
      <c r="B41" s="30" t="s">
        <v>21</v>
      </c>
      <c r="C41" s="30" t="s">
        <v>28</v>
      </c>
      <c r="D41" s="30">
        <v>2</v>
      </c>
      <c r="E41" s="33" t="str">
        <f>VLOOKUP(Table2[[#This Row],[Product_ID]],Master!$A$2:$D$8,2,FALSE)</f>
        <v>Monitor 24in</v>
      </c>
      <c r="F41" s="33" t="str">
        <f>VLOOKUP(Table2[[#This Row],[Product_ID]],Master!$A$2:$D$8,3,FALSE)</f>
        <v>Electronics</v>
      </c>
      <c r="G41" s="33">
        <f>VLOOKUP(Table2[[#This Row],[Product_ID]],Master!$A$2:$D$8,4,FALSE)</f>
        <v>12000</v>
      </c>
    </row>
    <row r="42" spans="1:7" x14ac:dyDescent="0.35">
      <c r="A42" s="36">
        <v>45993</v>
      </c>
      <c r="B42" s="36" t="s">
        <v>22</v>
      </c>
      <c r="C42" s="30" t="s">
        <v>10</v>
      </c>
      <c r="D42" s="30">
        <v>100</v>
      </c>
      <c r="E42" s="33" t="str">
        <f>VLOOKUP(Table2[[#This Row],[Product_ID]],Master!$A$2:$D$8,2,FALSE)</f>
        <v>Notebook Set</v>
      </c>
      <c r="F42" s="33" t="str">
        <f>VLOOKUP(Table2[[#This Row],[Product_ID]],Master!$A$2:$D$8,3,FALSE)</f>
        <v>Stationery</v>
      </c>
      <c r="G42" s="33">
        <f>VLOOKUP(Table2[[#This Row],[Product_ID]],Master!$A$2:$D$8,4,FALSE)</f>
        <v>150</v>
      </c>
    </row>
    <row r="43" spans="1:7" x14ac:dyDescent="0.35">
      <c r="A43" s="36">
        <v>45993</v>
      </c>
      <c r="B43" s="36" t="s">
        <v>22</v>
      </c>
      <c r="C43" s="30" t="s">
        <v>30</v>
      </c>
      <c r="D43" s="30">
        <v>10</v>
      </c>
      <c r="E43" s="33" t="str">
        <f>VLOOKUP(Table2[[#This Row],[Product_ID]],Master!$A$2:$D$8,2,FALSE)</f>
        <v>Whiteboard</v>
      </c>
      <c r="F43" s="33" t="str">
        <f>VLOOKUP(Table2[[#This Row],[Product_ID]],Master!$A$2:$D$8,3,FALSE)</f>
        <v>Stationery</v>
      </c>
      <c r="G43" s="33">
        <f>VLOOKUP(Table2[[#This Row],[Product_ID]],Master!$A$2:$D$8,4,FALSE)</f>
        <v>2500</v>
      </c>
    </row>
    <row r="44" spans="1:7" x14ac:dyDescent="0.35">
      <c r="A44" s="36">
        <v>45994</v>
      </c>
      <c r="B44" s="36" t="s">
        <v>22</v>
      </c>
      <c r="C44" s="30" t="s">
        <v>4</v>
      </c>
      <c r="D44" s="30">
        <v>15</v>
      </c>
      <c r="E44" s="33" t="str">
        <f>VLOOKUP(Table2[[#This Row],[Product_ID]],Master!$A$2:$D$8,2,FALSE)</f>
        <v>Eco Mouse</v>
      </c>
      <c r="F44" s="33" t="str">
        <f>VLOOKUP(Table2[[#This Row],[Product_ID]],Master!$A$2:$D$8,3,FALSE)</f>
        <v>Electronics</v>
      </c>
      <c r="G44" s="33">
        <f>VLOOKUP(Table2[[#This Row],[Product_ID]],Master!$A$2:$D$8,4,FALSE)</f>
        <v>500</v>
      </c>
    </row>
    <row r="45" spans="1:7" x14ac:dyDescent="0.35">
      <c r="A45" s="36">
        <v>45994</v>
      </c>
      <c r="B45" s="36" t="s">
        <v>22</v>
      </c>
      <c r="C45" s="30" t="s">
        <v>6</v>
      </c>
      <c r="D45" s="30">
        <v>8</v>
      </c>
      <c r="E45" s="33" t="str">
        <f>VLOOKUP(Table2[[#This Row],[Product_ID]],Master!$A$2:$D$8,2,FALSE)</f>
        <v>Pro Keyboard</v>
      </c>
      <c r="F45" s="33" t="str">
        <f>VLOOKUP(Table2[[#This Row],[Product_ID]],Master!$A$2:$D$8,3,FALSE)</f>
        <v>Electronics</v>
      </c>
      <c r="G45" s="33">
        <f>VLOOKUP(Table2[[#This Row],[Product_ID]],Master!$A$2:$D$8,4,FALSE)</f>
        <v>1200</v>
      </c>
    </row>
    <row r="46" spans="1:7" x14ac:dyDescent="0.35">
      <c r="A46" s="36">
        <v>45995</v>
      </c>
      <c r="B46" s="36" t="s">
        <v>22</v>
      </c>
      <c r="C46" s="30" t="s">
        <v>10</v>
      </c>
      <c r="D46" s="30">
        <v>150</v>
      </c>
      <c r="E46" s="33" t="str">
        <f>VLOOKUP(Table2[[#This Row],[Product_ID]],Master!$A$2:$D$8,2,FALSE)</f>
        <v>Notebook Set</v>
      </c>
      <c r="F46" s="33" t="str">
        <f>VLOOKUP(Table2[[#This Row],[Product_ID]],Master!$A$2:$D$8,3,FALSE)</f>
        <v>Stationery</v>
      </c>
      <c r="G46" s="33">
        <f>VLOOKUP(Table2[[#This Row],[Product_ID]],Master!$A$2:$D$8,4,FALSE)</f>
        <v>150</v>
      </c>
    </row>
    <row r="47" spans="1:7" x14ac:dyDescent="0.35">
      <c r="A47" s="36">
        <v>45996</v>
      </c>
      <c r="B47" s="36" t="s">
        <v>22</v>
      </c>
      <c r="C47" s="30" t="s">
        <v>9</v>
      </c>
      <c r="D47" s="30">
        <v>5</v>
      </c>
      <c r="E47" s="33" t="str">
        <f>VLOOKUP(Table2[[#This Row],[Product_ID]],Master!$A$2:$D$8,2,FALSE)</f>
        <v>LED Lamp</v>
      </c>
      <c r="F47" s="33" t="str">
        <f>VLOOKUP(Table2[[#This Row],[Product_ID]],Master!$A$2:$D$8,3,FALSE)</f>
        <v>Furniture</v>
      </c>
      <c r="G47" s="33">
        <f>VLOOKUP(Table2[[#This Row],[Product_ID]],Master!$A$2:$D$8,4,FALSE)</f>
        <v>900</v>
      </c>
    </row>
    <row r="48" spans="1:7" x14ac:dyDescent="0.35">
      <c r="A48" s="36">
        <v>45997</v>
      </c>
      <c r="B48" s="36" t="s">
        <v>22</v>
      </c>
      <c r="C48" s="30" t="s">
        <v>7</v>
      </c>
      <c r="D48" s="30">
        <v>2</v>
      </c>
      <c r="E48" s="33" t="str">
        <f>VLOOKUP(Table2[[#This Row],[Product_ID]],Master!$A$2:$D$8,2,FALSE)</f>
        <v>Ergo Chair</v>
      </c>
      <c r="F48" s="33" t="str">
        <f>VLOOKUP(Table2[[#This Row],[Product_ID]],Master!$A$2:$D$8,3,FALSE)</f>
        <v>Furniture</v>
      </c>
      <c r="G48" s="33">
        <f>VLOOKUP(Table2[[#This Row],[Product_ID]],Master!$A$2:$D$8,4,FALSE)</f>
        <v>5500</v>
      </c>
    </row>
    <row r="49" spans="1:7" x14ac:dyDescent="0.35">
      <c r="A49" s="36">
        <v>45997</v>
      </c>
      <c r="B49" s="36" t="s">
        <v>22</v>
      </c>
      <c r="C49" s="30" t="s">
        <v>10</v>
      </c>
      <c r="D49" s="30">
        <v>80</v>
      </c>
      <c r="E49" s="33" t="str">
        <f>VLOOKUP(Table2[[#This Row],[Product_ID]],Master!$A$2:$D$8,2,FALSE)</f>
        <v>Notebook Set</v>
      </c>
      <c r="F49" s="33" t="str">
        <f>VLOOKUP(Table2[[#This Row],[Product_ID]],Master!$A$2:$D$8,3,FALSE)</f>
        <v>Stationery</v>
      </c>
      <c r="G49" s="33">
        <f>VLOOKUP(Table2[[#This Row],[Product_ID]],Master!$A$2:$D$8,4,FALSE)</f>
        <v>150</v>
      </c>
    </row>
    <row r="50" spans="1:7" x14ac:dyDescent="0.35">
      <c r="A50" s="36">
        <v>45998</v>
      </c>
      <c r="B50" s="36" t="s">
        <v>22</v>
      </c>
      <c r="C50" s="30" t="s">
        <v>4</v>
      </c>
      <c r="D50" s="30">
        <v>12</v>
      </c>
      <c r="E50" s="33" t="str">
        <f>VLOOKUP(Table2[[#This Row],[Product_ID]],Master!$A$2:$D$8,2,FALSE)</f>
        <v>Eco Mouse</v>
      </c>
      <c r="F50" s="33" t="str">
        <f>VLOOKUP(Table2[[#This Row],[Product_ID]],Master!$A$2:$D$8,3,FALSE)</f>
        <v>Electronics</v>
      </c>
      <c r="G50" s="33">
        <f>VLOOKUP(Table2[[#This Row],[Product_ID]],Master!$A$2:$D$8,4,FALSE)</f>
        <v>500</v>
      </c>
    </row>
    <row r="51" spans="1:7" x14ac:dyDescent="0.35">
      <c r="A51" s="36">
        <v>45999</v>
      </c>
      <c r="B51" s="36" t="s">
        <v>22</v>
      </c>
      <c r="C51" s="30" t="s">
        <v>30</v>
      </c>
      <c r="D51" s="30">
        <v>15</v>
      </c>
      <c r="E51" s="33" t="str">
        <f>VLOOKUP(Table2[[#This Row],[Product_ID]],Master!$A$2:$D$8,2,FALSE)</f>
        <v>Whiteboard</v>
      </c>
      <c r="F51" s="33" t="str">
        <f>VLOOKUP(Table2[[#This Row],[Product_ID]],Master!$A$2:$D$8,3,FALSE)</f>
        <v>Stationery</v>
      </c>
      <c r="G51" s="33">
        <f>VLOOKUP(Table2[[#This Row],[Product_ID]],Master!$A$2:$D$8,4,FALSE)</f>
        <v>2500</v>
      </c>
    </row>
    <row r="52" spans="1:7" x14ac:dyDescent="0.35">
      <c r="A52" s="36">
        <v>46000</v>
      </c>
      <c r="B52" s="36" t="s">
        <v>22</v>
      </c>
      <c r="C52" s="30" t="s">
        <v>10</v>
      </c>
      <c r="D52" s="30">
        <v>200</v>
      </c>
      <c r="E52" s="33" t="str">
        <f>VLOOKUP(Table2[[#This Row],[Product_ID]],Master!$A$2:$D$8,2,FALSE)</f>
        <v>Notebook Set</v>
      </c>
      <c r="F52" s="33" t="str">
        <f>VLOOKUP(Table2[[#This Row],[Product_ID]],Master!$A$2:$D$8,3,FALSE)</f>
        <v>Stationery</v>
      </c>
      <c r="G52" s="33">
        <f>VLOOKUP(Table2[[#This Row],[Product_ID]],Master!$A$2:$D$8,4,FALSE)</f>
        <v>150</v>
      </c>
    </row>
    <row r="53" spans="1:7" x14ac:dyDescent="0.35">
      <c r="A53" s="36">
        <v>46000</v>
      </c>
      <c r="B53" s="36" t="s">
        <v>22</v>
      </c>
      <c r="C53" s="30" t="s">
        <v>6</v>
      </c>
      <c r="D53" s="30">
        <v>6</v>
      </c>
      <c r="E53" s="33" t="str">
        <f>VLOOKUP(Table2[[#This Row],[Product_ID]],Master!$A$2:$D$8,2,FALSE)</f>
        <v>Pro Keyboard</v>
      </c>
      <c r="F53" s="33" t="str">
        <f>VLOOKUP(Table2[[#This Row],[Product_ID]],Master!$A$2:$D$8,3,FALSE)</f>
        <v>Electronics</v>
      </c>
      <c r="G53" s="33">
        <f>VLOOKUP(Table2[[#This Row],[Product_ID]],Master!$A$2:$D$8,4,FALSE)</f>
        <v>1200</v>
      </c>
    </row>
    <row r="54" spans="1:7" x14ac:dyDescent="0.35">
      <c r="A54" s="36">
        <v>46001</v>
      </c>
      <c r="B54" s="36" t="s">
        <v>22</v>
      </c>
      <c r="C54" s="30" t="s">
        <v>9</v>
      </c>
      <c r="D54" s="30">
        <v>8</v>
      </c>
      <c r="E54" s="33" t="str">
        <f>VLOOKUP(Table2[[#This Row],[Product_ID]],Master!$A$2:$D$8,2,FALSE)</f>
        <v>LED Lamp</v>
      </c>
      <c r="F54" s="33" t="str">
        <f>VLOOKUP(Table2[[#This Row],[Product_ID]],Master!$A$2:$D$8,3,FALSE)</f>
        <v>Furniture</v>
      </c>
      <c r="G54" s="33">
        <f>VLOOKUP(Table2[[#This Row],[Product_ID]],Master!$A$2:$D$8,4,FALSE)</f>
        <v>900</v>
      </c>
    </row>
    <row r="55" spans="1:7" x14ac:dyDescent="0.35">
      <c r="A55" s="36">
        <v>46002</v>
      </c>
      <c r="B55" s="36" t="s">
        <v>22</v>
      </c>
      <c r="C55" s="30" t="s">
        <v>10</v>
      </c>
      <c r="D55" s="30">
        <v>120</v>
      </c>
      <c r="E55" s="33" t="str">
        <f>VLOOKUP(Table2[[#This Row],[Product_ID]],Master!$A$2:$D$8,2,FALSE)</f>
        <v>Notebook Set</v>
      </c>
      <c r="F55" s="33" t="str">
        <f>VLOOKUP(Table2[[#This Row],[Product_ID]],Master!$A$2:$D$8,3,FALSE)</f>
        <v>Stationery</v>
      </c>
      <c r="G55" s="33">
        <f>VLOOKUP(Table2[[#This Row],[Product_ID]],Master!$A$2:$D$8,4,FALSE)</f>
        <v>150</v>
      </c>
    </row>
    <row r="56" spans="1:7" x14ac:dyDescent="0.35">
      <c r="A56" s="36">
        <v>46003</v>
      </c>
      <c r="B56" s="36" t="s">
        <v>22</v>
      </c>
      <c r="C56" s="30" t="s">
        <v>4</v>
      </c>
      <c r="D56" s="30">
        <v>20</v>
      </c>
      <c r="E56" s="33" t="str">
        <f>VLOOKUP(Table2[[#This Row],[Product_ID]],Master!$A$2:$D$8,2,FALSE)</f>
        <v>Eco Mouse</v>
      </c>
      <c r="F56" s="33" t="str">
        <f>VLOOKUP(Table2[[#This Row],[Product_ID]],Master!$A$2:$D$8,3,FALSE)</f>
        <v>Electronics</v>
      </c>
      <c r="G56" s="33">
        <f>VLOOKUP(Table2[[#This Row],[Product_ID]],Master!$A$2:$D$8,4,FALSE)</f>
        <v>500</v>
      </c>
    </row>
    <row r="57" spans="1:7" x14ac:dyDescent="0.35">
      <c r="A57" s="36">
        <v>46003</v>
      </c>
      <c r="B57" s="36" t="s">
        <v>22</v>
      </c>
      <c r="C57" s="30" t="s">
        <v>28</v>
      </c>
      <c r="D57" s="30">
        <v>3</v>
      </c>
      <c r="E57" s="33" t="str">
        <f>VLOOKUP(Table2[[#This Row],[Product_ID]],Master!$A$2:$D$8,2,FALSE)</f>
        <v>Monitor 24in</v>
      </c>
      <c r="F57" s="33" t="str">
        <f>VLOOKUP(Table2[[#This Row],[Product_ID]],Master!$A$2:$D$8,3,FALSE)</f>
        <v>Electronics</v>
      </c>
      <c r="G57" s="33">
        <f>VLOOKUP(Table2[[#This Row],[Product_ID]],Master!$A$2:$D$8,4,FALSE)</f>
        <v>12000</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97BACC-C50F-47F3-832F-14A03B4975B0}">
  <dimension ref="A6:F10"/>
  <sheetViews>
    <sheetView workbookViewId="0">
      <selection activeCell="K19" sqref="K19"/>
    </sheetView>
  </sheetViews>
  <sheetFormatPr defaultRowHeight="14.5" x14ac:dyDescent="0.35"/>
  <cols>
    <col min="1" max="1" width="12.36328125" bestFit="1" customWidth="1"/>
    <col min="2" max="2" width="14.36328125" bestFit="1" customWidth="1"/>
    <col min="5" max="5" width="12.36328125" bestFit="1" customWidth="1"/>
    <col min="6" max="6" width="14.36328125" bestFit="1" customWidth="1"/>
  </cols>
  <sheetData>
    <row r="6" spans="1:6" x14ac:dyDescent="0.35">
      <c r="A6" s="8" t="s">
        <v>25</v>
      </c>
      <c r="B6" t="s">
        <v>27</v>
      </c>
      <c r="E6" s="8" t="s">
        <v>25</v>
      </c>
      <c r="F6" t="s">
        <v>27</v>
      </c>
    </row>
    <row r="7" spans="1:6" x14ac:dyDescent="0.35">
      <c r="A7" s="9" t="s">
        <v>20</v>
      </c>
      <c r="B7" s="10">
        <v>76550</v>
      </c>
      <c r="E7" s="9" t="s">
        <v>5</v>
      </c>
      <c r="F7" s="10">
        <v>98100</v>
      </c>
    </row>
    <row r="8" spans="1:6" x14ac:dyDescent="0.35">
      <c r="A8" s="9" t="s">
        <v>21</v>
      </c>
      <c r="B8" s="10">
        <v>71650</v>
      </c>
      <c r="E8" s="9" t="s">
        <v>8</v>
      </c>
      <c r="F8" s="10">
        <v>67700</v>
      </c>
    </row>
    <row r="9" spans="1:6" x14ac:dyDescent="0.35">
      <c r="A9" s="9" t="s">
        <v>22</v>
      </c>
      <c r="B9" s="10">
        <v>28950</v>
      </c>
      <c r="E9" s="9" t="s">
        <v>12</v>
      </c>
      <c r="F9" s="10">
        <v>11350</v>
      </c>
    </row>
    <row r="10" spans="1:6" x14ac:dyDescent="0.35">
      <c r="A10" s="9" t="s">
        <v>26</v>
      </c>
      <c r="B10" s="10">
        <v>177150</v>
      </c>
      <c r="E10" s="9" t="s">
        <v>26</v>
      </c>
      <c r="F10" s="10">
        <v>177150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8ED8D9-0B08-4D82-A1AB-94E6316EC147}">
  <dimension ref="A1:O25"/>
  <sheetViews>
    <sheetView showGridLines="0" zoomScale="83" workbookViewId="0">
      <selection activeCell="Q12" sqref="Q12"/>
    </sheetView>
  </sheetViews>
  <sheetFormatPr defaultRowHeight="14.5" x14ac:dyDescent="0.35"/>
  <sheetData>
    <row r="1" spans="1:15" x14ac:dyDescent="0.35">
      <c r="A1" s="11"/>
      <c r="B1" s="11"/>
      <c r="C1" s="11"/>
      <c r="D1" s="11"/>
      <c r="E1" s="11"/>
      <c r="F1" s="11"/>
      <c r="G1" s="11"/>
      <c r="H1" s="11"/>
      <c r="I1" s="11"/>
      <c r="J1" s="11"/>
      <c r="K1" s="11"/>
      <c r="L1" s="11"/>
      <c r="M1" s="11"/>
      <c r="N1" s="11"/>
      <c r="O1" s="11"/>
    </row>
    <row r="2" spans="1:15" x14ac:dyDescent="0.35">
      <c r="A2" s="11"/>
      <c r="B2" s="11"/>
      <c r="C2" s="11"/>
      <c r="D2" s="11"/>
      <c r="E2" s="11"/>
      <c r="F2" s="11"/>
      <c r="G2" s="11"/>
      <c r="H2" s="11"/>
      <c r="I2" s="11"/>
      <c r="J2" s="11"/>
      <c r="K2" s="11"/>
      <c r="L2" s="11"/>
      <c r="M2" s="11"/>
      <c r="N2" s="11"/>
      <c r="O2" s="11"/>
    </row>
    <row r="3" spans="1:15" x14ac:dyDescent="0.35">
      <c r="A3" s="11"/>
      <c r="B3" s="11"/>
      <c r="C3" s="11"/>
      <c r="D3" s="11"/>
      <c r="E3" s="11"/>
      <c r="F3" s="11"/>
      <c r="G3" s="11"/>
      <c r="H3" s="11"/>
      <c r="I3" s="11"/>
      <c r="J3" s="11"/>
      <c r="K3" s="11"/>
      <c r="L3" s="11"/>
      <c r="M3" s="11"/>
      <c r="N3" s="11"/>
      <c r="O3" s="11"/>
    </row>
    <row r="4" spans="1:15" x14ac:dyDescent="0.35">
      <c r="A4" s="11"/>
      <c r="B4" s="11"/>
      <c r="C4" s="11"/>
      <c r="D4" s="11"/>
      <c r="E4" s="11"/>
      <c r="F4" s="11"/>
      <c r="G4" s="11"/>
      <c r="H4" s="11"/>
      <c r="I4" s="11"/>
      <c r="J4" s="11"/>
      <c r="K4" s="11"/>
      <c r="L4" s="11"/>
      <c r="M4" s="11"/>
      <c r="N4" s="11"/>
      <c r="O4" s="11"/>
    </row>
    <row r="5" spans="1:15" x14ac:dyDescent="0.35">
      <c r="A5" s="11"/>
      <c r="B5" s="11"/>
      <c r="C5" s="11"/>
      <c r="D5" s="11"/>
      <c r="E5" s="11"/>
      <c r="F5" s="11"/>
      <c r="G5" s="11"/>
      <c r="H5" s="11"/>
      <c r="I5" s="11"/>
      <c r="J5" s="11"/>
      <c r="K5" s="11"/>
      <c r="L5" s="11"/>
      <c r="M5" s="11"/>
      <c r="N5" s="11"/>
      <c r="O5" s="11"/>
    </row>
    <row r="6" spans="1:15" x14ac:dyDescent="0.35">
      <c r="A6" s="11"/>
      <c r="B6" s="11"/>
      <c r="C6" s="11"/>
      <c r="D6" s="11"/>
      <c r="E6" s="11"/>
      <c r="F6" s="11"/>
      <c r="G6" s="11"/>
      <c r="H6" s="11"/>
      <c r="I6" s="11"/>
      <c r="J6" s="11"/>
      <c r="K6" s="11"/>
      <c r="L6" s="11"/>
      <c r="M6" s="11"/>
      <c r="N6" s="11"/>
      <c r="O6" s="11"/>
    </row>
    <row r="7" spans="1:15" x14ac:dyDescent="0.35">
      <c r="A7" s="11"/>
      <c r="B7" s="11"/>
      <c r="C7" s="11"/>
      <c r="D7" s="11"/>
      <c r="E7" s="11"/>
      <c r="F7" s="11"/>
      <c r="G7" s="11"/>
      <c r="H7" s="11"/>
      <c r="I7" s="11"/>
      <c r="J7" s="11"/>
      <c r="K7" s="11"/>
      <c r="L7" s="11"/>
      <c r="M7" s="11"/>
      <c r="N7" s="11"/>
      <c r="O7" s="11"/>
    </row>
    <row r="8" spans="1:15" x14ac:dyDescent="0.35">
      <c r="A8" s="11"/>
      <c r="B8" s="11"/>
      <c r="C8" s="11"/>
      <c r="D8" s="11"/>
      <c r="E8" s="11"/>
      <c r="F8" s="11"/>
      <c r="G8" s="11"/>
      <c r="H8" s="11"/>
      <c r="I8" s="11"/>
      <c r="J8" s="11"/>
      <c r="K8" s="11"/>
      <c r="L8" s="11"/>
      <c r="M8" s="11"/>
      <c r="N8" s="11"/>
      <c r="O8" s="11"/>
    </row>
    <row r="9" spans="1:15" x14ac:dyDescent="0.35">
      <c r="A9" s="11"/>
      <c r="B9" s="11"/>
      <c r="C9" s="11"/>
      <c r="D9" s="11"/>
      <c r="E9" s="11"/>
      <c r="F9" s="11"/>
      <c r="G9" s="11"/>
      <c r="H9" s="11"/>
      <c r="I9" s="11"/>
      <c r="J9" s="11"/>
      <c r="K9" s="11"/>
      <c r="L9" s="11"/>
      <c r="M9" s="11"/>
      <c r="N9" s="11"/>
      <c r="O9" s="11"/>
    </row>
    <row r="10" spans="1:15" x14ac:dyDescent="0.35">
      <c r="A10" s="11"/>
      <c r="B10" s="11"/>
      <c r="C10" s="11"/>
      <c r="D10" s="11"/>
      <c r="E10" s="11"/>
      <c r="F10" s="11"/>
      <c r="G10" s="11"/>
      <c r="H10" s="11"/>
      <c r="I10" s="11"/>
      <c r="J10" s="11"/>
      <c r="K10" s="11"/>
      <c r="L10" s="11"/>
      <c r="M10" s="11"/>
      <c r="N10" s="11"/>
      <c r="O10" s="11"/>
    </row>
    <row r="11" spans="1:15" x14ac:dyDescent="0.35">
      <c r="A11" s="11"/>
      <c r="B11" s="11"/>
      <c r="C11" s="11"/>
      <c r="D11" s="11"/>
      <c r="E11" s="11"/>
      <c r="F11" s="11"/>
      <c r="G11" s="11"/>
      <c r="H11" s="11"/>
      <c r="I11" s="11"/>
      <c r="J11" s="11"/>
      <c r="K11" s="11"/>
      <c r="L11" s="11"/>
      <c r="M11" s="11"/>
      <c r="N11" s="11"/>
      <c r="O11" s="11"/>
    </row>
    <row r="12" spans="1:15" x14ac:dyDescent="0.35">
      <c r="A12" s="11"/>
      <c r="B12" s="11"/>
      <c r="C12" s="11"/>
      <c r="D12" s="11"/>
      <c r="E12" s="11"/>
      <c r="F12" s="11"/>
      <c r="G12" s="11"/>
      <c r="H12" s="11"/>
      <c r="I12" s="11"/>
      <c r="J12" s="11"/>
      <c r="K12" s="11"/>
      <c r="L12" s="11"/>
      <c r="M12" s="11"/>
      <c r="N12" s="11"/>
      <c r="O12" s="11"/>
    </row>
    <row r="13" spans="1:15" x14ac:dyDescent="0.35">
      <c r="A13" s="11"/>
      <c r="B13" s="11"/>
      <c r="C13" s="11"/>
      <c r="D13" s="11"/>
      <c r="E13" s="11"/>
      <c r="F13" s="11"/>
      <c r="G13" s="11"/>
      <c r="H13" s="11"/>
      <c r="I13" s="11"/>
      <c r="J13" s="11"/>
      <c r="K13" s="11"/>
      <c r="L13" s="11"/>
      <c r="M13" s="11"/>
      <c r="N13" s="11"/>
      <c r="O13" s="11"/>
    </row>
    <row r="14" spans="1:15" x14ac:dyDescent="0.35">
      <c r="A14" s="11"/>
      <c r="B14" s="11"/>
      <c r="C14" s="11"/>
      <c r="D14" s="11"/>
      <c r="E14" s="11"/>
      <c r="F14" s="11"/>
      <c r="G14" s="11"/>
      <c r="H14" s="11"/>
      <c r="I14" s="11"/>
      <c r="J14" s="11"/>
      <c r="K14" s="11"/>
      <c r="L14" s="11"/>
      <c r="M14" s="11"/>
      <c r="N14" s="11"/>
      <c r="O14" s="11"/>
    </row>
    <row r="15" spans="1:15" x14ac:dyDescent="0.35">
      <c r="A15" s="11"/>
      <c r="B15" s="11"/>
      <c r="C15" s="11"/>
      <c r="D15" s="11"/>
      <c r="E15" s="11"/>
      <c r="F15" s="11"/>
      <c r="G15" s="11"/>
      <c r="H15" s="11"/>
      <c r="I15" s="11"/>
      <c r="J15" s="11"/>
      <c r="K15" s="11"/>
      <c r="L15" s="11"/>
      <c r="M15" s="11"/>
      <c r="N15" s="11"/>
      <c r="O15" s="11"/>
    </row>
    <row r="16" spans="1:15" x14ac:dyDescent="0.35">
      <c r="A16" s="11"/>
      <c r="B16" s="11"/>
      <c r="C16" s="11"/>
      <c r="D16" s="11"/>
      <c r="E16" s="11"/>
      <c r="F16" s="11"/>
      <c r="G16" s="11"/>
      <c r="H16" s="11"/>
      <c r="I16" s="11"/>
      <c r="J16" s="11"/>
      <c r="K16" s="11"/>
      <c r="L16" s="11"/>
      <c r="M16" s="11"/>
      <c r="N16" s="11"/>
      <c r="O16" s="11"/>
    </row>
    <row r="17" spans="1:15" x14ac:dyDescent="0.35">
      <c r="A17" s="11"/>
      <c r="B17" s="11"/>
      <c r="C17" s="11"/>
      <c r="D17" s="11"/>
      <c r="E17" s="11"/>
      <c r="F17" s="11"/>
      <c r="G17" s="11"/>
      <c r="H17" s="11"/>
      <c r="I17" s="11"/>
      <c r="J17" s="11"/>
      <c r="K17" s="11"/>
      <c r="L17" s="11"/>
      <c r="M17" s="11"/>
      <c r="N17" s="11"/>
      <c r="O17" s="11"/>
    </row>
    <row r="18" spans="1:15" x14ac:dyDescent="0.35">
      <c r="A18" s="11"/>
      <c r="B18" s="11"/>
      <c r="C18" s="11"/>
      <c r="D18" s="11"/>
      <c r="E18" s="11"/>
      <c r="F18" s="11"/>
      <c r="G18" s="11"/>
      <c r="H18" s="11"/>
      <c r="I18" s="11"/>
      <c r="J18" s="11"/>
      <c r="K18" s="11"/>
      <c r="L18" s="11"/>
      <c r="M18" s="11"/>
      <c r="N18" s="11"/>
      <c r="O18" s="11"/>
    </row>
    <row r="19" spans="1:15" x14ac:dyDescent="0.35">
      <c r="A19" s="11"/>
      <c r="B19" s="11"/>
      <c r="C19" s="11"/>
      <c r="D19" s="11"/>
      <c r="E19" s="11"/>
      <c r="F19" s="11"/>
      <c r="G19" s="11"/>
      <c r="H19" s="11"/>
      <c r="I19" s="11"/>
      <c r="J19" s="11"/>
      <c r="K19" s="11"/>
      <c r="L19" s="11"/>
      <c r="M19" s="11"/>
      <c r="N19" s="11"/>
      <c r="O19" s="11"/>
    </row>
    <row r="20" spans="1:15" x14ac:dyDescent="0.35">
      <c r="A20" s="11"/>
      <c r="B20" s="11"/>
      <c r="C20" s="11"/>
      <c r="D20" s="11"/>
      <c r="E20" s="11"/>
      <c r="F20" s="11"/>
      <c r="G20" s="11"/>
      <c r="H20" s="11"/>
      <c r="I20" s="11"/>
      <c r="J20" s="11"/>
      <c r="K20" s="11"/>
      <c r="L20" s="11"/>
      <c r="M20" s="11"/>
      <c r="N20" s="11"/>
      <c r="O20" s="11"/>
    </row>
    <row r="21" spans="1:15" x14ac:dyDescent="0.35">
      <c r="A21" s="11"/>
      <c r="B21" s="11"/>
      <c r="C21" s="11"/>
      <c r="D21" s="11"/>
      <c r="E21" s="11"/>
      <c r="F21" s="11"/>
      <c r="G21" s="11"/>
      <c r="H21" s="11"/>
      <c r="I21" s="11"/>
      <c r="J21" s="11"/>
      <c r="K21" s="11"/>
      <c r="L21" s="11"/>
      <c r="M21" s="11"/>
      <c r="N21" s="11"/>
      <c r="O21" s="11"/>
    </row>
    <row r="22" spans="1:15" x14ac:dyDescent="0.35">
      <c r="A22" s="11"/>
      <c r="B22" s="11"/>
      <c r="C22" s="11"/>
      <c r="D22" s="11"/>
      <c r="E22" s="11"/>
      <c r="F22" s="11"/>
      <c r="G22" s="11"/>
      <c r="H22" s="11"/>
      <c r="I22" s="11"/>
      <c r="J22" s="11"/>
      <c r="K22" s="11"/>
      <c r="L22" s="11"/>
      <c r="M22" s="11"/>
      <c r="N22" s="11"/>
      <c r="O22" s="11"/>
    </row>
    <row r="23" spans="1:15" x14ac:dyDescent="0.35">
      <c r="A23" s="11"/>
      <c r="B23" s="11"/>
      <c r="C23" s="11"/>
      <c r="D23" s="11"/>
      <c r="E23" s="11"/>
      <c r="F23" s="11"/>
      <c r="G23" s="11"/>
      <c r="H23" s="11"/>
      <c r="I23" s="11"/>
      <c r="J23" s="11"/>
      <c r="K23" s="11"/>
      <c r="L23" s="11"/>
      <c r="M23" s="11"/>
      <c r="N23" s="11"/>
      <c r="O23" s="11"/>
    </row>
    <row r="24" spans="1:15" x14ac:dyDescent="0.35">
      <c r="A24" s="11"/>
      <c r="B24" s="11"/>
      <c r="C24" s="11"/>
      <c r="D24" s="11"/>
      <c r="E24" s="11"/>
      <c r="F24" s="11"/>
      <c r="G24" s="11"/>
      <c r="H24" s="11"/>
      <c r="I24" s="11"/>
      <c r="J24" s="11"/>
      <c r="K24" s="11"/>
      <c r="L24" s="11"/>
      <c r="M24" s="11"/>
      <c r="N24" s="11"/>
      <c r="O24" s="11"/>
    </row>
    <row r="25" spans="1:15" x14ac:dyDescent="0.35">
      <c r="A25" s="11"/>
      <c r="B25" s="11"/>
      <c r="C25" s="11"/>
      <c r="D25" s="11"/>
      <c r="E25" s="11"/>
      <c r="F25" s="11"/>
      <c r="G25" s="11"/>
      <c r="H25" s="11"/>
      <c r="I25" s="11"/>
      <c r="J25" s="11"/>
      <c r="K25" s="11"/>
      <c r="L25" s="11"/>
      <c r="M25" s="11"/>
      <c r="N25" s="11"/>
      <c r="O25" s="11"/>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Master</vt:lpstr>
      <vt:lpstr>North</vt:lpstr>
      <vt:lpstr>South</vt:lpstr>
      <vt:lpstr>West</vt:lpstr>
      <vt:lpstr>ALL_DATA</vt:lpstr>
      <vt:lpstr>Pivot_Engine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Nidhi Kachhi</cp:lastModifiedBy>
  <dcterms:created xsi:type="dcterms:W3CDTF">2015-06-05T18:17:20Z</dcterms:created>
  <dcterms:modified xsi:type="dcterms:W3CDTF">2025-12-28T11:51:23Z</dcterms:modified>
</cp:coreProperties>
</file>